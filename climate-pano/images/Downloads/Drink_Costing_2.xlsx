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nk Costing" sheetId="1" state="visible" r:id="rId3"/>
    <sheet name="Ingredient Prices" sheetId="2" state="visible" r:id="rId4"/>
    <sheet name="Sub-Recipes" sheetId="3" state="visible" r:id="rId5"/>
    <sheet name="Daily Pre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<sst xmlns="http://schemas.openxmlformats.org/spreadsheetml/2006/main" count="397" uniqueCount="173">
  <si>
    <t xml:space="preserve">TASTING FLIGHT COSTING</t>
  </si>
  <si>
    <t xml:space="preserve">1. Mango Coconut Matcha</t>
  </si>
  <si>
    <t xml:space="preserve">Component</t>
  </si>
  <si>
    <t xml:space="preserve">Amount (g/ml)</t>
  </si>
  <si>
    <t xml:space="preserve">Cost/Unit (₱)</t>
  </si>
  <si>
    <t xml:space="preserve">Line Cost (₱)</t>
  </si>
  <si>
    <t xml:space="preserve">Notes</t>
  </si>
  <si>
    <t xml:space="preserve">Mango Concentrate</t>
  </si>
  <si>
    <t xml:space="preserve">Raw ingredient</t>
  </si>
  <si>
    <t xml:space="preserve">Vita Coco</t>
  </si>
  <si>
    <t xml:space="preserve">Hot Whisked Matcha</t>
  </si>
  <si>
    <t xml:space="preserve">Sub-recipe (see Sub-Recipes sheet)</t>
  </si>
  <si>
    <t xml:space="preserve">Cup</t>
  </si>
  <si>
    <t xml:space="preserve">INGREDIENT COST</t>
  </si>
  <si>
    <t xml:space="preserve">2. Earl Grey Coconut Latte</t>
  </si>
  <si>
    <t xml:space="preserve">Earl Grey Syrup</t>
  </si>
  <si>
    <t xml:space="preserve">Cold Whisked Oat Matcha</t>
  </si>
  <si>
    <t xml:space="preserve">3. Coco Pandan Cloud Matcha</t>
  </si>
  <si>
    <t xml:space="preserve">Sugar Syrup (1:1)</t>
  </si>
  <si>
    <t xml:space="preserve">Pandan Extract</t>
  </si>
  <si>
    <t xml:space="preserve">Pandan Leaf (garnish)</t>
  </si>
  <si>
    <t xml:space="preserve">Matcha Cream</t>
  </si>
  <si>
    <t xml:space="preserve">4. Latik Foam Coconut Cold Brew</t>
  </si>
  <si>
    <t xml:space="preserve">Coconut Cold Brew Base</t>
  </si>
  <si>
    <t xml:space="preserve">Latik Foam</t>
  </si>
  <si>
    <t xml:space="preserve">Latik Bits (garnish)</t>
  </si>
  <si>
    <t xml:space="preserve">TASTING FLIGHT SUMMARY (all 4 drinks)</t>
  </si>
  <si>
    <t xml:space="preserve">Drink</t>
  </si>
  <si>
    <t xml:space="preserve">Ingredient Cost</t>
  </si>
  <si>
    <t xml:space="preserve">4-Cup Carrier (per flight)</t>
  </si>
  <si>
    <t xml:space="preserve">Packaging — 1 carrier per flight</t>
  </si>
  <si>
    <t xml:space="preserve">TOTAL FLIGHT COST (incl. packaging)</t>
  </si>
  <si>
    <t xml:space="preserve">FLIGHT PRICING SCENARIOS</t>
  </si>
  <si>
    <t xml:space="preserve">Scenario</t>
  </si>
  <si>
    <t xml:space="preserve">Selling Price</t>
  </si>
  <si>
    <t xml:space="preserve">Cost %</t>
  </si>
  <si>
    <t xml:space="preserve">Gross Profit</t>
  </si>
  <si>
    <t xml:space="preserve">Flight @ ₱550</t>
  </si>
  <si>
    <t xml:space="preserve">Flight @ ₱575</t>
  </si>
  <si>
    <t xml:space="preserve">Flight @ ₱600</t>
  </si>
  <si>
    <t xml:space="preserve">INGREDIENT PRICE LIST (Philippine SRP, 2026 — adjust as needed)</t>
  </si>
  <si>
    <t xml:space="preserve">Ingredient</t>
  </si>
  <si>
    <t xml:space="preserve">Pack Size</t>
  </si>
  <si>
    <t xml:space="preserve">Unit</t>
  </si>
  <si>
    <t xml:space="preserve">Pack Price (₱)</t>
  </si>
  <si>
    <t xml:space="preserve">Cost per Unit (₱)</t>
  </si>
  <si>
    <t xml:space="preserve">Source / Note</t>
  </si>
  <si>
    <t xml:space="preserve">Matcha Powder</t>
  </si>
  <si>
    <t xml:space="preserve">g</t>
  </si>
  <si>
    <t xml:space="preserve">Actual: ₱1,600 per 100g</t>
  </si>
  <si>
    <t xml:space="preserve">Hot Water</t>
  </si>
  <si>
    <t xml:space="preserve">Negligible — filtered water</t>
  </si>
  <si>
    <t xml:space="preserve">Oat Milk (Barista)</t>
  </si>
  <si>
    <t xml:space="preserve">Actual: ₱110/L</t>
  </si>
  <si>
    <t xml:space="preserve">Whipping Cream</t>
  </si>
  <si>
    <t xml:space="preserve">Actual: ₱450/L</t>
  </si>
  <si>
    <t xml:space="preserve">Vita Coco 1L ~₱119–140</t>
  </si>
  <si>
    <t xml:space="preserve">Coconut Milk</t>
  </si>
  <si>
    <t xml:space="preserve">Coco Mama Fresh Gata 400ml ~₱65</t>
  </si>
  <si>
    <t xml:space="preserve">Coconut Cream</t>
  </si>
  <si>
    <t xml:space="preserve">Coco Mama / similar premium 1st press</t>
  </si>
  <si>
    <t xml:space="preserve">Dark Brown Sugar</t>
  </si>
  <si>
    <t xml:space="preserve">Supermarket brown sugar ~₱90–100/kg</t>
  </si>
  <si>
    <t xml:space="preserve">White Sugar (for syrup)</t>
  </si>
  <si>
    <t xml:space="preserve">Refined sugar ~₱88–103/kg</t>
  </si>
  <si>
    <t xml:space="preserve">Actual: ₱239 per 500ml</t>
  </si>
  <si>
    <t xml:space="preserve">Peach Syrup</t>
  </si>
  <si>
    <t xml:space="preserve">Torani Peach 750ml ~₱520–590</t>
  </si>
  <si>
    <t xml:space="preserve">Earl Grey Tea Bag</t>
  </si>
  <si>
    <t xml:space="preserve">pc</t>
  </si>
  <si>
    <t xml:space="preserve">Actual: ₱170 per box of 10 bags</t>
  </si>
  <si>
    <t xml:space="preserve">ml</t>
  </si>
  <si>
    <t xml:space="preserve">McCormick/local pandan essence ~₱80–120/20ml</t>
  </si>
  <si>
    <t xml:space="preserve">Actual: ₱15/bunch, ~25 leaves per bunch</t>
  </si>
  <si>
    <t xml:space="preserve">Actual: ₱389 per 50 pcs</t>
  </si>
  <si>
    <t xml:space="preserve">4-Cup Carrier</t>
  </si>
  <si>
    <t xml:space="preserve">Actual: ₱800 per 100 pcs</t>
  </si>
  <si>
    <t xml:space="preserve">LEGEND:</t>
  </si>
  <si>
    <t xml:space="preserve">Blue text = editable input (change to update all costings)</t>
  </si>
  <si>
    <t xml:space="preserve">Black text = formula (do not edit manually)</t>
  </si>
  <si>
    <t xml:space="preserve">SUB-RECIPE COSTING (cost per gram of finished prep)</t>
  </si>
  <si>
    <t xml:space="preserve">Amount (g)</t>
  </si>
  <si>
    <t xml:space="preserve">Total Raw Cost</t>
  </si>
  <si>
    <t xml:space="preserve">Effective Yield (g)</t>
  </si>
  <si>
    <t xml:space="preserve">100% yield</t>
  </si>
  <si>
    <t xml:space="preserve">Cost per gram (finished)</t>
  </si>
  <si>
    <t xml:space="preserve">Batch in pitcher: 65g Vita Coco base + 20g Vita Coco whisked with 2g matcha, all combined</t>
  </si>
  <si>
    <t xml:space="preserve">Latik Caramel</t>
  </si>
  <si>
    <t xml:space="preserve">75% yield</t>
  </si>
  <si>
    <t xml:space="preserve">Cooks down — yield estimated ~75% of input weight</t>
  </si>
  <si>
    <t xml:space="preserve">Latik Caramel (sub-recipe)</t>
  </si>
  <si>
    <t xml:space="preserve">from Sub-Recipes sheet</t>
  </si>
  <si>
    <t xml:space="preserve">Charged with N2O — volume increases, weight ~constant</t>
  </si>
  <si>
    <t xml:space="preserve">25% yield</t>
  </si>
  <si>
    <t xml:space="preserve">Cooks down — yield ~25% of input weight (oil separates)</t>
  </si>
  <si>
    <t xml:space="preserve">1 pump ≈ 8g — see per-drink sheet</t>
  </si>
  <si>
    <t xml:space="preserve">90% yield</t>
  </si>
  <si>
    <t xml:space="preserve">Steeped syrup — yield ~90% after steeping/cooling</t>
  </si>
  <si>
    <t xml:space="preserve">DAILY PREP QUANTITIES</t>
  </si>
  <si>
    <t xml:space="preserve">Daily flight target:</t>
  </si>
  <si>
    <t xml:space="preserve">flights</t>
  </si>
  <si>
    <t xml:space="preserve">← Edit BLUE cells to change targets; all quantities auto-update</t>
  </si>
  <si>
    <t xml:space="preserve">Buffer %:</t>
  </si>
  <si>
    <t xml:space="preserve">(spills, remakes, walk-up extras)</t>
  </si>
  <si>
    <t xml:space="preserve">Effective batch target:</t>
  </si>
  <si>
    <t xml:space="preserve">(daily target × (1 + buffer))</t>
  </si>
  <si>
    <t xml:space="preserve">SECTION 1 — RAW INGREDIENTS (poured directly into drinks)</t>
  </si>
  <si>
    <t xml:space="preserve">Per Flight</t>
  </si>
  <si>
    <t xml:space="preserve">Total Needed</t>
  </si>
  <si>
    <t xml:space="preserve"># Packs to Buy</t>
  </si>
  <si>
    <t xml:space="preserve">500 ml bottles</t>
  </si>
  <si>
    <t xml:space="preserve">Vita Coco (drinks 1+2+3 direct pour)</t>
  </si>
  <si>
    <t xml:space="preserve">1000 L cartons</t>
  </si>
  <si>
    <t xml:space="preserve">20 ml bottles</t>
  </si>
  <si>
    <t xml:space="preserve">Pandan Leaf</t>
  </si>
  <si>
    <t xml:space="preserve">25 leaves/bunch</t>
  </si>
  <si>
    <t xml:space="preserve">50 pcs/sleeve</t>
  </si>
  <si>
    <t xml:space="preserve">100 pcs/pack</t>
  </si>
  <si>
    <t xml:space="preserve">SECTION 2 — SUB-RECIPES TO PRE-BATCH (made at commissary)</t>
  </si>
  <si>
    <t xml:space="preserve">Sub-Recipe</t>
  </si>
  <si>
    <t xml:space="preserve">Per Flight (finished)</t>
  </si>
  <si>
    <t xml:space="preserve">Total Finished Needed</t>
  </si>
  <si>
    <t xml:space="preserve">Storage Container</t>
  </si>
  <si>
    <t xml:space="preserve"># Containers</t>
  </si>
  <si>
    <t xml:space="preserve">1L squeeze bottles</t>
  </si>
  <si>
    <t xml:space="preserve">2L pitchers (label: stir before pouring)</t>
  </si>
  <si>
    <t xml:space="preserve">Matcha Cream (unfrothed base)</t>
  </si>
  <si>
    <t xml:space="preserve">2L pitchers (label: shake before frothing)</t>
  </si>
  <si>
    <t xml:space="preserve">Latik Foam (unwhipped base, charge at booth)</t>
  </si>
  <si>
    <t xml:space="preserve">2L bottles for whip dispenser</t>
  </si>
  <si>
    <t xml:space="preserve">500ml squeeze bottles</t>
  </si>
  <si>
    <t xml:space="preserve">Latik Bits (5g pre-portions)</t>
  </si>
  <si>
    <t xml:space="preserve">5g souffle cups, lidded</t>
  </si>
  <si>
    <t xml:space="preserve">Hot Matcha 12g bowl portions (drink 1)</t>
  </si>
  <si>
    <t xml:space="preserve">12g zip bags (1 bag = 6 drinks)</t>
  </si>
  <si>
    <t xml:space="preserve">Cold Oat Matcha 12g bowl portions (drink 2)</t>
  </si>
  <si>
    <t xml:space="preserve">SECTION 3 — RAW INPUTS NEEDED FOR SUB-RECIPES (shopping list)</t>
  </si>
  <si>
    <t xml:space="preserve">Raw Ingredient</t>
  </si>
  <si>
    <t xml:space="preserve">Used In</t>
  </si>
  <si>
    <t xml:space="preserve">Per Flight (input)</t>
  </si>
  <si>
    <t xml:space="preserve">Drinks 1,2,3,4 (whisks + creams + cold brew)</t>
  </si>
  <si>
    <t xml:space="preserve">Drinks 1,2,3 direct + Coconut Cold Brew Base</t>
  </si>
  <si>
    <t xml:space="preserve">Hot Water (for matcha whisk)</t>
  </si>
  <si>
    <t xml:space="preserve">Hot Whisked Matcha (drink 1)</t>
  </si>
  <si>
    <t xml:space="preserve">Cold Whisked Oat Matcha + Matcha Cream</t>
  </si>
  <si>
    <t xml:space="preserve">Matcha Cream + Latik Foam</t>
  </si>
  <si>
    <t xml:space="preserve">Latik Caramel + Latik Foam direct</t>
  </si>
  <si>
    <t xml:space="preserve">White Sugar</t>
  </si>
  <si>
    <t xml:space="preserve">Sugar Syrup + Earl Grey Syrup</t>
  </si>
  <si>
    <t xml:space="preserve">Water (for syrups)</t>
  </si>
  <si>
    <t xml:space="preserve">SECTION 4 — # OF SUB-RECIPE BATCHES TO COOK (kitchen production list)</t>
  </si>
  <si>
    <t xml:space="preserve">1 Batch Yields</t>
  </si>
  <si>
    <t xml:space="preserve">Per Flight Need</t>
  </si>
  <si>
    <t xml:space="preserve">Total Need</t>
  </si>
  <si>
    <t xml:space="preserve">Batches to Cook</t>
  </si>
  <si>
    <t xml:space="preserve">Recipe Notes</t>
  </si>
  <si>
    <t xml:space="preserve">398.7 g</t>
  </si>
  <si>
    <t xml:space="preserve">20 g</t>
  </si>
  <si>
    <t xml:space="preserve">240g water + 200g sugar + 3 tea bags → simmer/steep → cool (90% yield)</t>
  </si>
  <si>
    <t xml:space="preserve">200 g</t>
  </si>
  <si>
    <t xml:space="preserve">16 g</t>
  </si>
  <si>
    <t xml:space="preserve">100g sugar + 100g hot water → dissolve fully → cool</t>
  </si>
  <si>
    <t xml:space="preserve">225 g</t>
  </si>
  <si>
    <t xml:space="preserve">30 g</t>
  </si>
  <si>
    <t xml:space="preserve">200g coconut milk + 100g dark brown sugar → cook until thick (75% yield)</t>
  </si>
  <si>
    <t xml:space="preserve">Latik Foam (unwhipped)</t>
  </si>
  <si>
    <t xml:space="preserve">240 g</t>
  </si>
  <si>
    <t xml:space="preserve">60 g</t>
  </si>
  <si>
    <t xml:space="preserve">60g whipping cream + 60g coconut milk + 120g latik caramel → charge with N2O at booth</t>
  </si>
  <si>
    <t xml:space="preserve">Latik Bits</t>
  </si>
  <si>
    <t xml:space="preserve">50 g</t>
  </si>
  <si>
    <t xml:space="preserve">5 g</t>
  </si>
  <si>
    <t xml:space="preserve">200g coconut cream → reduce until oil separates and bits brown (25% yield)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</si>
</sst>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\₱#,##0.0000"/>
    <numFmt numFmtId="167" formatCode="\₱#,##0.00"/>
    <numFmt numFmtId="168" formatCode="0.0%"/>
    <numFmt numFmtId="169" formatCode="#,##0"/>
    <numFmt numFmtId="170" formatCode="0%"/>
    <numFmt numFmtId="171" formatCode="#,##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5E2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0070C0"/>
      <name val="Calibri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5E2E"/>
        <bgColor rgb="FF2E7D32"/>
      </patternFill>
    </fill>
    <fill>
      <patternFill patternType="solid">
        <fgColor rgb="FFE8F0DA"/>
        <bgColor rgb="FFF5EBDE"/>
      </patternFill>
    </fill>
    <fill>
      <patternFill patternType="solid">
        <fgColor rgb="FFFFF8E1"/>
        <bgColor rgb="FFFFFFFF"/>
      </patternFill>
    </fill>
    <fill>
      <patternFill patternType="solid">
        <fgColor rgb="FF2E7D32"/>
        <bgColor rgb="FF1E5E2E"/>
      </patternFill>
    </fill>
    <fill>
      <patternFill patternType="solid">
        <fgColor rgb="FF8B5A2B"/>
        <bgColor rgb="FF595959"/>
      </patternFill>
    </fill>
    <fill>
      <patternFill patternType="solid">
        <fgColor rgb="FFF5EBDE"/>
        <bgColor rgb="FFE8F0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A2B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A"/>
      <rgbColor rgb="FFF5EB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1E5E2E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20</v>
      </c>
      <c r="C5" s="6" t="n">
        <f aca="false">'Ingredient Prices'!E13</f>
        <v>0.478</v>
      </c>
      <c r="D5" s="7" t="n">
        <f aca="false">B5*C5</f>
        <v>9.56</v>
      </c>
      <c r="E5" s="8" t="s">
        <v>8</v>
      </c>
    </row>
    <row r="6" customFormat="false" ht="15" hidden="false" customHeight="false" outlineLevel="0" collapsed="false">
      <c r="A6" s="4" t="s">
        <v>9</v>
      </c>
      <c r="B6" s="5" t="n">
        <v>65</v>
      </c>
      <c r="C6" s="6" t="n">
        <f aca="false">'Ingredient Prices'!E8</f>
        <v>0.13</v>
      </c>
      <c r="D6" s="7" t="n">
        <f aca="false">B6*C6</f>
        <v>8.45</v>
      </c>
      <c r="E6" s="8" t="s">
        <v>8</v>
      </c>
    </row>
    <row r="7" customFormat="false" ht="15" hidden="false" customHeight="false" outlineLevel="0" collapsed="false">
      <c r="A7" s="4" t="s">
        <v>10</v>
      </c>
      <c r="B7" s="5" t="n">
        <v>22</v>
      </c>
      <c r="C7" s="6" t="n">
        <f aca="false">'Sub-Recipes'!D9</f>
        <v>1.45459090909091</v>
      </c>
      <c r="D7" s="7" t="n">
        <f aca="false">B7*C7</f>
        <v>32.001</v>
      </c>
      <c r="E7" s="8" t="s">
        <v>11</v>
      </c>
    </row>
    <row r="8" customFormat="false" ht="15" hidden="false" customHeight="false" outlineLevel="0" collapsed="false">
      <c r="A8" s="4" t="s">
        <v>12</v>
      </c>
      <c r="B8" s="5" t="n">
        <v>1</v>
      </c>
      <c r="C8" s="6" t="n">
        <f aca="false">'Ingredient Prices'!E18</f>
        <v>7.78</v>
      </c>
      <c r="D8" s="7" t="n">
        <f aca="false">B8*C8</f>
        <v>7.78</v>
      </c>
      <c r="E8" s="8" t="s">
        <v>8</v>
      </c>
    </row>
    <row r="9" customFormat="false" ht="15" hidden="false" customHeight="false" outlineLevel="0" collapsed="false">
      <c r="A9" s="9" t="s">
        <v>13</v>
      </c>
      <c r="B9" s="10"/>
      <c r="C9" s="10"/>
      <c r="D9" s="11" t="n">
        <f aca="false">SUM(D5:D8)</f>
        <v>57.791</v>
      </c>
      <c r="E9" s="10"/>
    </row>
    <row r="11" customFormat="false" ht="15" hidden="false" customHeight="false" outlineLevel="0" collapsed="false">
      <c r="A11" s="2" t="s">
        <v>14</v>
      </c>
      <c r="B11" s="2"/>
      <c r="C11" s="2"/>
      <c r="D11" s="2"/>
      <c r="E11" s="2"/>
    </row>
    <row r="12" customFormat="false" ht="15" hidden="false" customHeight="false" outlineLevel="0" collapsed="false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</row>
    <row r="13" customFormat="false" ht="15" hidden="false" customHeight="false" outlineLevel="0" collapsed="false">
      <c r="A13" s="4" t="s">
        <v>15</v>
      </c>
      <c r="B13" s="5" t="n">
        <v>20</v>
      </c>
      <c r="C13" s="6" t="n">
        <f aca="false">'Sub-Recipes'!D75</f>
        <v>0.173092550790068</v>
      </c>
      <c r="D13" s="7" t="n">
        <f aca="false">B13*C13</f>
        <v>3.46185101580135</v>
      </c>
      <c r="E13" s="8" t="s">
        <v>11</v>
      </c>
    </row>
    <row r="14" customFormat="false" ht="15" hidden="false" customHeight="false" outlineLevel="0" collapsed="false">
      <c r="A14" s="4" t="s">
        <v>9</v>
      </c>
      <c r="B14" s="5" t="n">
        <v>65</v>
      </c>
      <c r="C14" s="6" t="n">
        <f aca="false">'Ingredient Prices'!E8</f>
        <v>0.13</v>
      </c>
      <c r="D14" s="7" t="n">
        <f aca="false">B14*C14</f>
        <v>8.45</v>
      </c>
      <c r="E14" s="8" t="s">
        <v>8</v>
      </c>
    </row>
    <row r="15" customFormat="false" ht="15" hidden="false" customHeight="false" outlineLevel="0" collapsed="false">
      <c r="A15" s="4" t="s">
        <v>16</v>
      </c>
      <c r="B15" s="5" t="n">
        <v>22</v>
      </c>
      <c r="C15" s="6" t="n">
        <f aca="false">'Sub-Recipes'!D17</f>
        <v>1.55454545454545</v>
      </c>
      <c r="D15" s="7" t="n">
        <f aca="false">B15*C15</f>
        <v>34.2</v>
      </c>
      <c r="E15" s="8" t="s">
        <v>11</v>
      </c>
    </row>
    <row r="16" customFormat="false" ht="15" hidden="false" customHeight="false" outlineLevel="0" collapsed="false">
      <c r="A16" s="4" t="s">
        <v>12</v>
      </c>
      <c r="B16" s="5" t="n">
        <v>1</v>
      </c>
      <c r="C16" s="6" t="n">
        <f aca="false">'Ingredient Prices'!E18</f>
        <v>7.78</v>
      </c>
      <c r="D16" s="7" t="n">
        <f aca="false">B16*C16</f>
        <v>7.78</v>
      </c>
      <c r="E16" s="8" t="s">
        <v>8</v>
      </c>
    </row>
    <row r="17" customFormat="false" ht="15" hidden="false" customHeight="false" outlineLevel="0" collapsed="false">
      <c r="A17" s="9" t="s">
        <v>13</v>
      </c>
      <c r="B17" s="10"/>
      <c r="C17" s="10"/>
      <c r="D17" s="11" t="n">
        <f aca="false">SUM(D13:D16)</f>
        <v>53.8918510158014</v>
      </c>
      <c r="E17" s="10"/>
    </row>
    <row r="19" customFormat="false" ht="15" hidden="false" customHeight="false" outlineLevel="0" collapsed="false">
      <c r="A19" s="2" t="s">
        <v>17</v>
      </c>
      <c r="B19" s="2"/>
      <c r="C19" s="2"/>
      <c r="D19" s="2"/>
      <c r="E19" s="2"/>
    </row>
    <row r="20" customFormat="false" ht="15" hidden="false" customHeight="false" outlineLevel="0" collapsed="false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</row>
    <row r="21" customFormat="false" ht="15" hidden="false" customHeight="false" outlineLevel="0" collapsed="false">
      <c r="A21" s="4" t="s">
        <v>9</v>
      </c>
      <c r="B21" s="5" t="n">
        <v>65</v>
      </c>
      <c r="C21" s="6" t="n">
        <f aca="false">'Ingredient Prices'!E8</f>
        <v>0.13</v>
      </c>
      <c r="D21" s="7" t="n">
        <f aca="false">B21*C21</f>
        <v>8.45</v>
      </c>
      <c r="E21" s="8" t="s">
        <v>8</v>
      </c>
    </row>
    <row r="22" customFormat="false" ht="15" hidden="false" customHeight="false" outlineLevel="0" collapsed="false">
      <c r="A22" s="4" t="s">
        <v>18</v>
      </c>
      <c r="B22" s="5" t="n">
        <v>8</v>
      </c>
      <c r="C22" s="6" t="n">
        <f aca="false">'Sub-Recipes'!D66</f>
        <v>0.045025</v>
      </c>
      <c r="D22" s="7" t="n">
        <f aca="false">B22*C22</f>
        <v>0.3602</v>
      </c>
      <c r="E22" s="8" t="s">
        <v>11</v>
      </c>
    </row>
    <row r="23" customFormat="false" ht="15" hidden="false" customHeight="false" outlineLevel="0" collapsed="false">
      <c r="A23" s="4" t="s">
        <v>19</v>
      </c>
      <c r="B23" s="5" t="n">
        <v>0.1</v>
      </c>
      <c r="C23" s="6" t="n">
        <f aca="false">'Ingredient Prices'!E16</f>
        <v>5</v>
      </c>
      <c r="D23" s="7" t="n">
        <f aca="false">B23*C23</f>
        <v>0.5</v>
      </c>
      <c r="E23" s="8" t="s">
        <v>8</v>
      </c>
    </row>
    <row r="24" customFormat="false" ht="15" hidden="false" customHeight="false" outlineLevel="0" collapsed="false">
      <c r="A24" s="4" t="s">
        <v>20</v>
      </c>
      <c r="B24" s="5" t="n">
        <v>1</v>
      </c>
      <c r="C24" s="6" t="n">
        <f aca="false">'Ingredient Prices'!E17</f>
        <v>0.6</v>
      </c>
      <c r="D24" s="7" t="n">
        <f aca="false">B24*C24</f>
        <v>0.6</v>
      </c>
      <c r="E24" s="8" t="s">
        <v>8</v>
      </c>
    </row>
    <row r="25" customFormat="false" ht="15" hidden="false" customHeight="false" outlineLevel="0" collapsed="false">
      <c r="A25" s="4" t="s">
        <v>21</v>
      </c>
      <c r="B25" s="5" t="n">
        <v>27</v>
      </c>
      <c r="C25" s="6" t="n">
        <f aca="false">'Sub-Recipes'!D26</f>
        <v>1.53888888888889</v>
      </c>
      <c r="D25" s="7" t="n">
        <f aca="false">B25*C25</f>
        <v>41.55</v>
      </c>
      <c r="E25" s="8" t="s">
        <v>11</v>
      </c>
    </row>
    <row r="26" customFormat="false" ht="15" hidden="false" customHeight="false" outlineLevel="0" collapsed="false">
      <c r="A26" s="4" t="s">
        <v>12</v>
      </c>
      <c r="B26" s="5" t="n">
        <v>1</v>
      </c>
      <c r="C26" s="6" t="n">
        <f aca="false">'Ingredient Prices'!E18</f>
        <v>7.78</v>
      </c>
      <c r="D26" s="7" t="n">
        <f aca="false">B26*C26</f>
        <v>7.78</v>
      </c>
      <c r="E26" s="8" t="s">
        <v>8</v>
      </c>
    </row>
    <row r="27" customFormat="false" ht="15" hidden="false" customHeight="false" outlineLevel="0" collapsed="false">
      <c r="A27" s="9" t="s">
        <v>13</v>
      </c>
      <c r="B27" s="10"/>
      <c r="C27" s="10"/>
      <c r="D27" s="11" t="n">
        <f aca="false">SUM(D21:D26)</f>
        <v>59.2402</v>
      </c>
      <c r="E27" s="10"/>
    </row>
    <row r="29" customFormat="false" ht="15" hidden="false" customHeight="false" outlineLevel="0" collapsed="false">
      <c r="A29" s="2" t="s">
        <v>22</v>
      </c>
      <c r="B29" s="2"/>
      <c r="C29" s="2"/>
      <c r="D29" s="2"/>
      <c r="E29" s="2"/>
    </row>
    <row r="30" customFormat="false" ht="15" hidden="false" customHeight="false" outlineLevel="0" collapsed="false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</row>
    <row r="31" customFormat="false" ht="15" hidden="false" customHeight="false" outlineLevel="0" collapsed="false">
      <c r="A31" s="4" t="s">
        <v>23</v>
      </c>
      <c r="B31" s="5" t="n">
        <v>87</v>
      </c>
      <c r="C31" s="6" t="n">
        <f aca="false">'Sub-Recipes'!D34</f>
        <v>0.494827586206897</v>
      </c>
      <c r="D31" s="7" t="n">
        <f aca="false">B31*C31</f>
        <v>43.05</v>
      </c>
      <c r="E31" s="8" t="s">
        <v>11</v>
      </c>
    </row>
    <row r="32" customFormat="false" ht="15" hidden="false" customHeight="false" outlineLevel="0" collapsed="false">
      <c r="A32" s="4" t="s">
        <v>18</v>
      </c>
      <c r="B32" s="5" t="n">
        <v>8</v>
      </c>
      <c r="C32" s="6" t="n">
        <f aca="false">'Sub-Recipes'!D66</f>
        <v>0.045025</v>
      </c>
      <c r="D32" s="7" t="n">
        <f aca="false">B32*C32</f>
        <v>0.3602</v>
      </c>
      <c r="E32" s="8" t="s">
        <v>11</v>
      </c>
    </row>
    <row r="33" customFormat="false" ht="15" hidden="false" customHeight="false" outlineLevel="0" collapsed="false">
      <c r="A33" s="4" t="s">
        <v>24</v>
      </c>
      <c r="B33" s="5" t="n">
        <v>60</v>
      </c>
      <c r="C33" s="6" t="n">
        <f aca="false">'Sub-Recipes'!D51</f>
        <v>0.246458333333333</v>
      </c>
      <c r="D33" s="7" t="n">
        <f aca="false">B33*C33</f>
        <v>14.7875</v>
      </c>
      <c r="E33" s="8" t="s">
        <v>11</v>
      </c>
    </row>
    <row r="34" customFormat="false" ht="15" hidden="false" customHeight="false" outlineLevel="0" collapsed="false">
      <c r="A34" s="4" t="s">
        <v>25</v>
      </c>
      <c r="B34" s="5" t="n">
        <v>5</v>
      </c>
      <c r="C34" s="6" t="n">
        <f aca="false">'Sub-Recipes'!D58</f>
        <v>0.7</v>
      </c>
      <c r="D34" s="7" t="n">
        <f aca="false">B34*C34</f>
        <v>3.5</v>
      </c>
      <c r="E34" s="8" t="s">
        <v>11</v>
      </c>
    </row>
    <row r="35" customFormat="false" ht="15" hidden="false" customHeight="false" outlineLevel="0" collapsed="false">
      <c r="A35" s="4" t="s">
        <v>12</v>
      </c>
      <c r="B35" s="5" t="n">
        <v>1</v>
      </c>
      <c r="C35" s="6" t="n">
        <f aca="false">'Ingredient Prices'!E18</f>
        <v>7.78</v>
      </c>
      <c r="D35" s="7" t="n">
        <f aca="false">B35*C35</f>
        <v>7.78</v>
      </c>
      <c r="E35" s="8" t="s">
        <v>8</v>
      </c>
    </row>
    <row r="36" customFormat="false" ht="15" hidden="false" customHeight="false" outlineLevel="0" collapsed="false">
      <c r="A36" s="9" t="s">
        <v>13</v>
      </c>
      <c r="B36" s="10"/>
      <c r="C36" s="10"/>
      <c r="D36" s="11" t="n">
        <f aca="false">SUM(D31:D35)</f>
        <v>69.4777</v>
      </c>
      <c r="E36" s="10"/>
    </row>
    <row r="39" customFormat="false" ht="15" hidden="false" customHeight="false" outlineLevel="0" collapsed="false">
      <c r="A39" s="12" t="s">
        <v>26</v>
      </c>
      <c r="B39" s="12"/>
      <c r="C39" s="12"/>
      <c r="D39" s="12"/>
      <c r="E39" s="12"/>
    </row>
    <row r="40" customFormat="false" ht="15" hidden="false" customHeight="false" outlineLevel="0" collapsed="false">
      <c r="A40" s="3" t="s">
        <v>27</v>
      </c>
      <c r="B40" s="3" t="s">
        <v>28</v>
      </c>
      <c r="C40" s="3"/>
      <c r="D40" s="3"/>
      <c r="E40" s="3" t="s">
        <v>6</v>
      </c>
    </row>
    <row r="41" customFormat="false" ht="15" hidden="false" customHeight="false" outlineLevel="0" collapsed="false">
      <c r="A41" s="4" t="s">
        <v>1</v>
      </c>
      <c r="B41" s="7" t="n">
        <f aca="false">D9</f>
        <v>57.791</v>
      </c>
      <c r="C41" s="10"/>
      <c r="D41" s="10"/>
      <c r="E41" s="10"/>
    </row>
    <row r="42" customFormat="false" ht="15" hidden="false" customHeight="false" outlineLevel="0" collapsed="false">
      <c r="A42" s="4" t="s">
        <v>14</v>
      </c>
      <c r="B42" s="7" t="n">
        <f aca="false">D17</f>
        <v>53.8918510158014</v>
      </c>
      <c r="C42" s="10"/>
      <c r="D42" s="10"/>
      <c r="E42" s="10"/>
    </row>
    <row r="43" customFormat="false" ht="15" hidden="false" customHeight="false" outlineLevel="0" collapsed="false">
      <c r="A43" s="4" t="s">
        <v>17</v>
      </c>
      <c r="B43" s="7" t="n">
        <f aca="false">D27</f>
        <v>59.2402</v>
      </c>
      <c r="C43" s="10"/>
      <c r="D43" s="10"/>
      <c r="E43" s="10"/>
    </row>
    <row r="44" customFormat="false" ht="15" hidden="false" customHeight="false" outlineLevel="0" collapsed="false">
      <c r="A44" s="4" t="s">
        <v>22</v>
      </c>
      <c r="B44" s="7" t="n">
        <f aca="false">D36</f>
        <v>69.4777</v>
      </c>
      <c r="C44" s="10"/>
      <c r="D44" s="10"/>
      <c r="E44" s="10"/>
    </row>
    <row r="45" customFormat="false" ht="15" hidden="false" customHeight="false" outlineLevel="0" collapsed="false">
      <c r="A45" s="4" t="s">
        <v>29</v>
      </c>
      <c r="B45" s="13" t="n">
        <f aca="false">'Ingredient Prices'!E19</f>
        <v>8</v>
      </c>
      <c r="C45" s="10"/>
      <c r="D45" s="10"/>
      <c r="E45" s="14" t="s">
        <v>30</v>
      </c>
    </row>
    <row r="46" customFormat="false" ht="15" hidden="false" customHeight="false" outlineLevel="0" collapsed="false">
      <c r="A46" s="9" t="s">
        <v>31</v>
      </c>
      <c r="B46" s="11" t="n">
        <f aca="false">SUM(B41:B44)+B45</f>
        <v>248.400751015801</v>
      </c>
      <c r="C46" s="10"/>
      <c r="D46" s="10"/>
      <c r="E46" s="10"/>
    </row>
    <row r="48" customFormat="false" ht="15" hidden="false" customHeight="false" outlineLevel="0" collapsed="false">
      <c r="A48" s="15" t="s">
        <v>32</v>
      </c>
      <c r="B48" s="15"/>
      <c r="C48" s="15"/>
      <c r="D48" s="15"/>
      <c r="E48" s="15"/>
    </row>
    <row r="49" customFormat="false" ht="15" hidden="false" customHeight="false" outlineLevel="0" collapsed="false">
      <c r="A49" s="3" t="s">
        <v>33</v>
      </c>
      <c r="B49" s="3" t="s">
        <v>34</v>
      </c>
      <c r="C49" s="3" t="s">
        <v>28</v>
      </c>
      <c r="D49" s="3" t="s">
        <v>35</v>
      </c>
      <c r="E49" s="3" t="s">
        <v>36</v>
      </c>
    </row>
    <row r="50" customFormat="false" ht="15" hidden="false" customHeight="false" outlineLevel="0" collapsed="false">
      <c r="A50" s="4" t="s">
        <v>37</v>
      </c>
      <c r="B50" s="16" t="n">
        <v>550</v>
      </c>
      <c r="C50" s="7" t="n">
        <f aca="false">B46</f>
        <v>248.400751015801</v>
      </c>
      <c r="D50" s="17" t="n">
        <f aca="false">C50/B50</f>
        <v>0.451637729119639</v>
      </c>
      <c r="E50" s="11" t="n">
        <f aca="false">B50-C50</f>
        <v>301.599248984199</v>
      </c>
    </row>
    <row r="51" customFormat="false" ht="15" hidden="false" customHeight="false" outlineLevel="0" collapsed="false">
      <c r="A51" s="4" t="s">
        <v>38</v>
      </c>
      <c r="B51" s="16" t="n">
        <v>575</v>
      </c>
      <c r="C51" s="7" t="n">
        <f aca="false">B46</f>
        <v>248.400751015801</v>
      </c>
      <c r="D51" s="17" t="n">
        <f aca="false">C51/B51</f>
        <v>0.432001306114437</v>
      </c>
      <c r="E51" s="11" t="n">
        <f aca="false">B51-C51</f>
        <v>326.599248984199</v>
      </c>
    </row>
    <row r="52" customFormat="false" ht="15" hidden="false" customHeight="false" outlineLevel="0" collapsed="false">
      <c r="A52" s="4" t="s">
        <v>39</v>
      </c>
      <c r="B52" s="16" t="n">
        <v>600</v>
      </c>
      <c r="C52" s="7" t="n">
        <f aca="false">B46</f>
        <v>248.400751015801</v>
      </c>
      <c r="D52" s="17" t="n">
        <f aca="false">C52/B52</f>
        <v>0.414001251693002</v>
      </c>
      <c r="E52" s="11" t="n">
        <f aca="false">B52-C52</f>
        <v>351.599248984199</v>
      </c>
    </row>
  </sheetData>
  <mergeCells count="7">
    <mergeCell ref="A1:E1"/>
    <mergeCell ref="A3:E3"/>
    <mergeCell ref="A11:E11"/>
    <mergeCell ref="A19:E19"/>
    <mergeCell ref="A29:E29"/>
    <mergeCell ref="A39:E39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40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</row>
    <row r="4" customFormat="false" ht="15" hidden="false" customHeight="false" outlineLevel="0" collapsed="false">
      <c r="A4" s="4" t="s">
        <v>47</v>
      </c>
      <c r="B4" s="18" t="n">
        <v>100</v>
      </c>
      <c r="C4" s="19" t="s">
        <v>48</v>
      </c>
      <c r="D4" s="16" t="n">
        <v>1600</v>
      </c>
      <c r="E4" s="20" t="n">
        <f aca="false">D4/B4</f>
        <v>16</v>
      </c>
      <c r="F4" s="8" t="s">
        <v>49</v>
      </c>
    </row>
    <row r="5" customFormat="false" ht="15" hidden="false" customHeight="false" outlineLevel="0" collapsed="false">
      <c r="A5" s="4" t="s">
        <v>50</v>
      </c>
      <c r="B5" s="18" t="n">
        <v>1000</v>
      </c>
      <c r="C5" s="19" t="s">
        <v>48</v>
      </c>
      <c r="D5" s="16" t="n">
        <v>0.05</v>
      </c>
      <c r="E5" s="20" t="n">
        <f aca="false">D5/B5</f>
        <v>5E-005</v>
      </c>
      <c r="F5" s="8" t="s">
        <v>51</v>
      </c>
    </row>
    <row r="6" customFormat="false" ht="15" hidden="false" customHeight="false" outlineLevel="0" collapsed="false">
      <c r="A6" s="4" t="s">
        <v>52</v>
      </c>
      <c r="B6" s="18" t="n">
        <v>1000</v>
      </c>
      <c r="C6" s="19" t="s">
        <v>48</v>
      </c>
      <c r="D6" s="16" t="n">
        <v>110</v>
      </c>
      <c r="E6" s="20" t="n">
        <f aca="false">D6/B6</f>
        <v>0.11</v>
      </c>
      <c r="F6" s="8" t="s">
        <v>53</v>
      </c>
    </row>
    <row r="7" customFormat="false" ht="15" hidden="false" customHeight="false" outlineLevel="0" collapsed="false">
      <c r="A7" s="4" t="s">
        <v>54</v>
      </c>
      <c r="B7" s="18" t="n">
        <v>1000</v>
      </c>
      <c r="C7" s="19" t="s">
        <v>48</v>
      </c>
      <c r="D7" s="16" t="n">
        <v>450</v>
      </c>
      <c r="E7" s="20" t="n">
        <f aca="false">D7/B7</f>
        <v>0.45</v>
      </c>
      <c r="F7" s="8" t="s">
        <v>55</v>
      </c>
    </row>
    <row r="8" customFormat="false" ht="15" hidden="false" customHeight="false" outlineLevel="0" collapsed="false">
      <c r="A8" s="4" t="s">
        <v>9</v>
      </c>
      <c r="B8" s="18" t="n">
        <v>1000</v>
      </c>
      <c r="C8" s="19" t="s">
        <v>48</v>
      </c>
      <c r="D8" s="16" t="n">
        <v>130</v>
      </c>
      <c r="E8" s="20" t="n">
        <f aca="false">D8/B8</f>
        <v>0.13</v>
      </c>
      <c r="F8" s="8" t="s">
        <v>56</v>
      </c>
    </row>
    <row r="9" customFormat="false" ht="15" hidden="false" customHeight="false" outlineLevel="0" collapsed="false">
      <c r="A9" s="4" t="s">
        <v>57</v>
      </c>
      <c r="B9" s="18" t="n">
        <v>400</v>
      </c>
      <c r="C9" s="19" t="s">
        <v>48</v>
      </c>
      <c r="D9" s="16" t="n">
        <v>65</v>
      </c>
      <c r="E9" s="20" t="n">
        <f aca="false">D9/B9</f>
        <v>0.1625</v>
      </c>
      <c r="F9" s="8" t="s">
        <v>58</v>
      </c>
    </row>
    <row r="10" customFormat="false" ht="15" hidden="false" customHeight="false" outlineLevel="0" collapsed="false">
      <c r="A10" s="4" t="s">
        <v>59</v>
      </c>
      <c r="B10" s="18" t="n">
        <v>400</v>
      </c>
      <c r="C10" s="19" t="s">
        <v>48</v>
      </c>
      <c r="D10" s="16" t="n">
        <v>70</v>
      </c>
      <c r="E10" s="20" t="n">
        <f aca="false">D10/B10</f>
        <v>0.175</v>
      </c>
      <c r="F10" s="8" t="s">
        <v>60</v>
      </c>
    </row>
    <row r="11" customFormat="false" ht="15" hidden="false" customHeight="false" outlineLevel="0" collapsed="false">
      <c r="A11" s="4" t="s">
        <v>61</v>
      </c>
      <c r="B11" s="18" t="n">
        <v>1000</v>
      </c>
      <c r="C11" s="19" t="s">
        <v>48</v>
      </c>
      <c r="D11" s="16" t="n">
        <v>95</v>
      </c>
      <c r="E11" s="20" t="n">
        <f aca="false">D11/B11</f>
        <v>0.095</v>
      </c>
      <c r="F11" s="8" t="s">
        <v>62</v>
      </c>
    </row>
    <row r="12" customFormat="false" ht="15" hidden="false" customHeight="false" outlineLevel="0" collapsed="false">
      <c r="A12" s="4" t="s">
        <v>63</v>
      </c>
      <c r="B12" s="18" t="n">
        <v>1000</v>
      </c>
      <c r="C12" s="19" t="s">
        <v>48</v>
      </c>
      <c r="D12" s="16" t="n">
        <v>90</v>
      </c>
      <c r="E12" s="20" t="n">
        <f aca="false">D12/B12</f>
        <v>0.09</v>
      </c>
      <c r="F12" s="8" t="s">
        <v>64</v>
      </c>
    </row>
    <row r="13" customFormat="false" ht="15" hidden="false" customHeight="false" outlineLevel="0" collapsed="false">
      <c r="A13" s="4" t="s">
        <v>7</v>
      </c>
      <c r="B13" s="18" t="n">
        <v>500</v>
      </c>
      <c r="C13" s="19" t="s">
        <v>48</v>
      </c>
      <c r="D13" s="16" t="n">
        <v>239</v>
      </c>
      <c r="E13" s="20" t="n">
        <f aca="false">D13/B13</f>
        <v>0.478</v>
      </c>
      <c r="F13" s="8" t="s">
        <v>65</v>
      </c>
    </row>
    <row r="14" customFormat="false" ht="15" hidden="false" customHeight="false" outlineLevel="0" collapsed="false">
      <c r="A14" s="4" t="s">
        <v>66</v>
      </c>
      <c r="B14" s="18" t="n">
        <v>750</v>
      </c>
      <c r="C14" s="19" t="s">
        <v>48</v>
      </c>
      <c r="D14" s="16" t="n">
        <v>550</v>
      </c>
      <c r="E14" s="20" t="n">
        <f aca="false">D14/B14</f>
        <v>0.733333333333333</v>
      </c>
      <c r="F14" s="8" t="s">
        <v>67</v>
      </c>
    </row>
    <row r="15" customFormat="false" ht="15" hidden="false" customHeight="false" outlineLevel="0" collapsed="false">
      <c r="A15" s="4" t="s">
        <v>68</v>
      </c>
      <c r="B15" s="18" t="n">
        <v>10</v>
      </c>
      <c r="C15" s="19" t="s">
        <v>69</v>
      </c>
      <c r="D15" s="16" t="n">
        <v>170</v>
      </c>
      <c r="E15" s="20" t="n">
        <f aca="false">D15/B15</f>
        <v>17</v>
      </c>
      <c r="F15" s="8" t="s">
        <v>70</v>
      </c>
    </row>
    <row r="16" customFormat="false" ht="15" hidden="false" customHeight="false" outlineLevel="0" collapsed="false">
      <c r="A16" s="4" t="s">
        <v>19</v>
      </c>
      <c r="B16" s="18" t="n">
        <v>20</v>
      </c>
      <c r="C16" s="19" t="s">
        <v>71</v>
      </c>
      <c r="D16" s="16" t="n">
        <v>100</v>
      </c>
      <c r="E16" s="20" t="n">
        <f aca="false">D16/B16</f>
        <v>5</v>
      </c>
      <c r="F16" s="8" t="s">
        <v>72</v>
      </c>
    </row>
    <row r="17" customFormat="false" ht="15" hidden="false" customHeight="false" outlineLevel="0" collapsed="false">
      <c r="A17" s="4" t="s">
        <v>20</v>
      </c>
      <c r="B17" s="18" t="n">
        <v>25</v>
      </c>
      <c r="C17" s="19" t="s">
        <v>69</v>
      </c>
      <c r="D17" s="16" t="n">
        <v>15</v>
      </c>
      <c r="E17" s="20" t="n">
        <f aca="false">D17/B17</f>
        <v>0.6</v>
      </c>
      <c r="F17" s="8" t="s">
        <v>73</v>
      </c>
    </row>
    <row r="18" customFormat="false" ht="15" hidden="false" customHeight="false" outlineLevel="0" collapsed="false">
      <c r="A18" s="4" t="s">
        <v>12</v>
      </c>
      <c r="B18" s="18" t="n">
        <v>50</v>
      </c>
      <c r="C18" s="19" t="s">
        <v>69</v>
      </c>
      <c r="D18" s="16" t="n">
        <v>389</v>
      </c>
      <c r="E18" s="20" t="n">
        <f aca="false">D18/B18</f>
        <v>7.78</v>
      </c>
      <c r="F18" s="8" t="s">
        <v>74</v>
      </c>
    </row>
    <row r="19" customFormat="false" ht="15" hidden="false" customHeight="false" outlineLevel="0" collapsed="false">
      <c r="A19" s="4" t="s">
        <v>75</v>
      </c>
      <c r="B19" s="18" t="n">
        <v>100</v>
      </c>
      <c r="C19" s="19" t="s">
        <v>69</v>
      </c>
      <c r="D19" s="16" t="n">
        <v>800</v>
      </c>
      <c r="E19" s="20" t="n">
        <f aca="false">D19/B19</f>
        <v>8</v>
      </c>
      <c r="F19" s="8" t="s">
        <v>76</v>
      </c>
    </row>
    <row r="22" customFormat="false" ht="15" hidden="false" customHeight="false" outlineLevel="0" collapsed="false">
      <c r="A22" s="21" t="s">
        <v>77</v>
      </c>
    </row>
    <row r="23" customFormat="false" ht="15" hidden="false" customHeight="false" outlineLevel="0" collapsed="false">
      <c r="A23" s="22" t="s">
        <v>78</v>
      </c>
    </row>
    <row r="24" customFormat="false" ht="15" hidden="false" customHeight="false" outlineLevel="0" collapsed="false">
      <c r="A24" s="23" t="s">
        <v>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45"/>
  </cols>
  <sheetData>
    <row r="1" customFormat="false" ht="19.7" hidden="false" customHeight="false" outlineLevel="0" collapsed="false">
      <c r="A1" s="1" t="s">
        <v>80</v>
      </c>
      <c r="B1" s="1"/>
      <c r="C1" s="1"/>
      <c r="D1" s="1"/>
      <c r="E1" s="1"/>
    </row>
    <row r="3" customFormat="false" ht="15" hidden="false" customHeight="false" outlineLevel="0" collapsed="false">
      <c r="A3" s="24" t="s">
        <v>10</v>
      </c>
      <c r="B3" s="24"/>
      <c r="C3" s="24"/>
      <c r="D3" s="24"/>
      <c r="E3" s="24"/>
    </row>
    <row r="4" customFormat="false" ht="15" hidden="false" customHeight="false" outlineLevel="0" collapsed="false">
      <c r="A4" s="3" t="s">
        <v>41</v>
      </c>
      <c r="B4" s="3" t="s">
        <v>81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47</v>
      </c>
      <c r="B5" s="5" t="n">
        <v>2</v>
      </c>
      <c r="C5" s="6" t="n">
        <f aca="false">'Ingredient Prices'!E4</f>
        <v>16</v>
      </c>
      <c r="D5" s="20" t="n">
        <f aca="false">B5*C5</f>
        <v>32</v>
      </c>
      <c r="E5" s="10"/>
    </row>
    <row r="6" customFormat="false" ht="15" hidden="false" customHeight="false" outlineLevel="0" collapsed="false">
      <c r="A6" s="4" t="s">
        <v>50</v>
      </c>
      <c r="B6" s="5" t="n">
        <v>20</v>
      </c>
      <c r="C6" s="6" t="n">
        <f aca="false">'Ingredient Prices'!E5</f>
        <v>5E-005</v>
      </c>
      <c r="D6" s="20" t="n">
        <f aca="false">B6*C6</f>
        <v>0.001</v>
      </c>
      <c r="E6" s="10"/>
    </row>
    <row r="7" customFormat="false" ht="15" hidden="false" customHeight="false" outlineLevel="0" collapsed="false">
      <c r="A7" s="9" t="s">
        <v>82</v>
      </c>
      <c r="B7" s="25" t="n">
        <f aca="false">SUM(B5:B6)</f>
        <v>22</v>
      </c>
      <c r="C7" s="10"/>
      <c r="D7" s="26" t="n">
        <f aca="false">SUM(D5:D6)</f>
        <v>32.001</v>
      </c>
      <c r="E7" s="10"/>
    </row>
    <row r="8" customFormat="false" ht="15" hidden="false" customHeight="false" outlineLevel="0" collapsed="false">
      <c r="A8" s="4" t="s">
        <v>83</v>
      </c>
      <c r="B8" s="27" t="n">
        <f aca="false">B7*1</f>
        <v>22</v>
      </c>
      <c r="C8" s="14" t="s">
        <v>84</v>
      </c>
      <c r="D8" s="10"/>
      <c r="E8" s="14"/>
    </row>
    <row r="9" customFormat="false" ht="15" hidden="false" customHeight="false" outlineLevel="0" collapsed="false">
      <c r="A9" s="9" t="s">
        <v>85</v>
      </c>
      <c r="B9" s="10"/>
      <c r="C9" s="10"/>
      <c r="D9" s="26" t="n">
        <f aca="false">D7/B8</f>
        <v>1.45459090909091</v>
      </c>
      <c r="E9" s="10"/>
    </row>
    <row r="11" customFormat="false" ht="15" hidden="false" customHeight="false" outlineLevel="0" collapsed="false">
      <c r="A11" s="24" t="s">
        <v>16</v>
      </c>
      <c r="B11" s="24"/>
      <c r="C11" s="24"/>
      <c r="D11" s="24"/>
      <c r="E11" s="24"/>
    </row>
    <row r="12" customFormat="false" ht="15" hidden="false" customHeight="false" outlineLevel="0" collapsed="false">
      <c r="A12" s="3" t="s">
        <v>41</v>
      </c>
      <c r="B12" s="3" t="s">
        <v>81</v>
      </c>
      <c r="C12" s="3" t="s">
        <v>4</v>
      </c>
      <c r="D12" s="3" t="s">
        <v>5</v>
      </c>
      <c r="E12" s="3" t="s">
        <v>6</v>
      </c>
    </row>
    <row r="13" customFormat="false" ht="15" hidden="false" customHeight="false" outlineLevel="0" collapsed="false">
      <c r="A13" s="4" t="s">
        <v>47</v>
      </c>
      <c r="B13" s="5" t="n">
        <v>2</v>
      </c>
      <c r="C13" s="6" t="n">
        <f aca="false">'Ingredient Prices'!E4</f>
        <v>16</v>
      </c>
      <c r="D13" s="20" t="n">
        <f aca="false">B13*C13</f>
        <v>32</v>
      </c>
      <c r="E13" s="10"/>
    </row>
    <row r="14" customFormat="false" ht="15" hidden="false" customHeight="false" outlineLevel="0" collapsed="false">
      <c r="A14" s="4" t="s">
        <v>52</v>
      </c>
      <c r="B14" s="5" t="n">
        <v>20</v>
      </c>
      <c r="C14" s="6" t="n">
        <f aca="false">'Ingredient Prices'!E6</f>
        <v>0.11</v>
      </c>
      <c r="D14" s="20" t="n">
        <f aca="false">B14*C14</f>
        <v>2.2</v>
      </c>
      <c r="E14" s="10"/>
    </row>
    <row r="15" customFormat="false" ht="15" hidden="false" customHeight="false" outlineLevel="0" collapsed="false">
      <c r="A15" s="9" t="s">
        <v>82</v>
      </c>
      <c r="B15" s="25" t="n">
        <f aca="false">SUM(B13:B14)</f>
        <v>22</v>
      </c>
      <c r="C15" s="10"/>
      <c r="D15" s="26" t="n">
        <f aca="false">SUM(D13:D14)</f>
        <v>34.2</v>
      </c>
      <c r="E15" s="10"/>
    </row>
    <row r="16" customFormat="false" ht="15" hidden="false" customHeight="false" outlineLevel="0" collapsed="false">
      <c r="A16" s="4" t="s">
        <v>83</v>
      </c>
      <c r="B16" s="27" t="n">
        <f aca="false">B15*1</f>
        <v>22</v>
      </c>
      <c r="C16" s="14" t="s">
        <v>84</v>
      </c>
      <c r="D16" s="10"/>
      <c r="E16" s="14"/>
    </row>
    <row r="17" customFormat="false" ht="15" hidden="false" customHeight="false" outlineLevel="0" collapsed="false">
      <c r="A17" s="9" t="s">
        <v>85</v>
      </c>
      <c r="B17" s="10"/>
      <c r="C17" s="10"/>
      <c r="D17" s="26" t="n">
        <f aca="false">D15/B16</f>
        <v>1.55454545454545</v>
      </c>
      <c r="E17" s="10"/>
    </row>
    <row r="19" customFormat="false" ht="15" hidden="false" customHeight="false" outlineLevel="0" collapsed="false">
      <c r="A19" s="24" t="s">
        <v>21</v>
      </c>
      <c r="B19" s="24"/>
      <c r="C19" s="24"/>
      <c r="D19" s="24"/>
      <c r="E19" s="24"/>
    </row>
    <row r="20" customFormat="false" ht="15" hidden="false" customHeight="false" outlineLevel="0" collapsed="false">
      <c r="A20" s="3" t="s">
        <v>41</v>
      </c>
      <c r="B20" s="3" t="s">
        <v>81</v>
      </c>
      <c r="C20" s="3" t="s">
        <v>4</v>
      </c>
      <c r="D20" s="3" t="s">
        <v>5</v>
      </c>
      <c r="E20" s="3" t="s">
        <v>6</v>
      </c>
    </row>
    <row r="21" customFormat="false" ht="15" hidden="false" customHeight="false" outlineLevel="0" collapsed="false">
      <c r="A21" s="4" t="s">
        <v>47</v>
      </c>
      <c r="B21" s="5" t="n">
        <v>2</v>
      </c>
      <c r="C21" s="6" t="n">
        <f aca="false">'Ingredient Prices'!E4</f>
        <v>16</v>
      </c>
      <c r="D21" s="20" t="n">
        <f aca="false">B21*C21</f>
        <v>32</v>
      </c>
      <c r="E21" s="10"/>
    </row>
    <row r="22" customFormat="false" ht="15" hidden="false" customHeight="false" outlineLevel="0" collapsed="false">
      <c r="A22" s="4" t="s">
        <v>54</v>
      </c>
      <c r="B22" s="5" t="n">
        <v>20</v>
      </c>
      <c r="C22" s="6" t="n">
        <f aca="false">'Ingredient Prices'!E7</f>
        <v>0.45</v>
      </c>
      <c r="D22" s="20" t="n">
        <f aca="false">B22*C22</f>
        <v>9</v>
      </c>
      <c r="E22" s="10"/>
    </row>
    <row r="23" customFormat="false" ht="15" hidden="false" customHeight="false" outlineLevel="0" collapsed="false">
      <c r="A23" s="4" t="s">
        <v>52</v>
      </c>
      <c r="B23" s="5" t="n">
        <v>5</v>
      </c>
      <c r="C23" s="6" t="n">
        <f aca="false">'Ingredient Prices'!E6</f>
        <v>0.11</v>
      </c>
      <c r="D23" s="20" t="n">
        <f aca="false">B23*C23</f>
        <v>0.55</v>
      </c>
      <c r="E23" s="10"/>
    </row>
    <row r="24" customFormat="false" ht="15" hidden="false" customHeight="false" outlineLevel="0" collapsed="false">
      <c r="A24" s="9" t="s">
        <v>82</v>
      </c>
      <c r="B24" s="25" t="n">
        <f aca="false">SUM(B21:B23)</f>
        <v>27</v>
      </c>
      <c r="C24" s="10"/>
      <c r="D24" s="26" t="n">
        <f aca="false">SUM(D21:D23)</f>
        <v>41.55</v>
      </c>
      <c r="E24" s="10"/>
    </row>
    <row r="25" customFormat="false" ht="15" hidden="false" customHeight="false" outlineLevel="0" collapsed="false">
      <c r="A25" s="4" t="s">
        <v>83</v>
      </c>
      <c r="B25" s="27" t="n">
        <f aca="false">B24*1</f>
        <v>27</v>
      </c>
      <c r="C25" s="14" t="s">
        <v>84</v>
      </c>
      <c r="D25" s="10"/>
      <c r="E25" s="14"/>
    </row>
    <row r="26" customFormat="false" ht="15" hidden="false" customHeight="false" outlineLevel="0" collapsed="false">
      <c r="A26" s="9" t="s">
        <v>85</v>
      </c>
      <c r="B26" s="10"/>
      <c r="C26" s="10"/>
      <c r="D26" s="26" t="n">
        <f aca="false">D24/B25</f>
        <v>1.53888888888889</v>
      </c>
      <c r="E26" s="10"/>
    </row>
    <row r="28" customFormat="false" ht="15" hidden="false" customHeight="false" outlineLevel="0" collapsed="false">
      <c r="A28" s="24" t="s">
        <v>23</v>
      </c>
      <c r="B28" s="24"/>
      <c r="C28" s="24"/>
      <c r="D28" s="24"/>
      <c r="E28" s="24"/>
    </row>
    <row r="29" customFormat="false" ht="15" hidden="false" customHeight="false" outlineLevel="0" collapsed="false">
      <c r="A29" s="3" t="s">
        <v>41</v>
      </c>
      <c r="B29" s="3" t="s">
        <v>81</v>
      </c>
      <c r="C29" s="3" t="s">
        <v>4</v>
      </c>
      <c r="D29" s="3" t="s">
        <v>5</v>
      </c>
      <c r="E29" s="3" t="s">
        <v>6</v>
      </c>
    </row>
    <row r="30" customFormat="false" ht="15" hidden="false" customHeight="false" outlineLevel="0" collapsed="false">
      <c r="A30" s="4" t="s">
        <v>47</v>
      </c>
      <c r="B30" s="5" t="n">
        <v>2</v>
      </c>
      <c r="C30" s="6" t="n">
        <f aca="false">'Ingredient Prices'!E4</f>
        <v>16</v>
      </c>
      <c r="D30" s="20" t="n">
        <f aca="false">B30*C30</f>
        <v>32</v>
      </c>
      <c r="E30" s="10"/>
    </row>
    <row r="31" customFormat="false" ht="15" hidden="false" customHeight="false" outlineLevel="0" collapsed="false">
      <c r="A31" s="4" t="s">
        <v>9</v>
      </c>
      <c r="B31" s="5" t="n">
        <v>85</v>
      </c>
      <c r="C31" s="6" t="n">
        <f aca="false">'Ingredient Prices'!E8</f>
        <v>0.13</v>
      </c>
      <c r="D31" s="20" t="n">
        <f aca="false">B31*C31</f>
        <v>11.05</v>
      </c>
      <c r="E31" s="10"/>
    </row>
    <row r="32" customFormat="false" ht="15" hidden="false" customHeight="false" outlineLevel="0" collapsed="false">
      <c r="A32" s="9" t="s">
        <v>82</v>
      </c>
      <c r="B32" s="25" t="n">
        <f aca="false">SUM(B30:B31)</f>
        <v>87</v>
      </c>
      <c r="C32" s="10"/>
      <c r="D32" s="26" t="n">
        <f aca="false">SUM(D30:D31)</f>
        <v>43.05</v>
      </c>
      <c r="E32" s="10"/>
    </row>
    <row r="33" customFormat="false" ht="15" hidden="false" customHeight="false" outlineLevel="0" collapsed="false">
      <c r="A33" s="4" t="s">
        <v>83</v>
      </c>
      <c r="B33" s="27" t="n">
        <f aca="false">B32*1</f>
        <v>87</v>
      </c>
      <c r="C33" s="14" t="s">
        <v>84</v>
      </c>
      <c r="D33" s="10"/>
      <c r="E33" s="14" t="s">
        <v>86</v>
      </c>
    </row>
    <row r="34" customFormat="false" ht="15" hidden="false" customHeight="false" outlineLevel="0" collapsed="false">
      <c r="A34" s="9" t="s">
        <v>85</v>
      </c>
      <c r="B34" s="10"/>
      <c r="C34" s="10"/>
      <c r="D34" s="26" t="n">
        <f aca="false">D32/B33</f>
        <v>0.494827586206897</v>
      </c>
      <c r="E34" s="10"/>
    </row>
    <row r="36" customFormat="false" ht="15" hidden="false" customHeight="false" outlineLevel="0" collapsed="false">
      <c r="A36" s="28" t="s">
        <v>87</v>
      </c>
      <c r="B36" s="28"/>
      <c r="C36" s="28"/>
      <c r="D36" s="28"/>
      <c r="E36" s="28"/>
    </row>
    <row r="37" customFormat="false" ht="15" hidden="false" customHeight="false" outlineLevel="0" collapsed="false">
      <c r="A37" s="29" t="s">
        <v>41</v>
      </c>
      <c r="B37" s="29" t="s">
        <v>81</v>
      </c>
      <c r="C37" s="29" t="s">
        <v>4</v>
      </c>
      <c r="D37" s="29" t="s">
        <v>5</v>
      </c>
      <c r="E37" s="29" t="s">
        <v>6</v>
      </c>
    </row>
    <row r="38" customFormat="false" ht="15" hidden="false" customHeight="false" outlineLevel="0" collapsed="false">
      <c r="A38" s="4" t="s">
        <v>57</v>
      </c>
      <c r="B38" s="5" t="n">
        <v>200</v>
      </c>
      <c r="C38" s="6" t="n">
        <f aca="false">'Ingredient Prices'!E9</f>
        <v>0.1625</v>
      </c>
      <c r="D38" s="20" t="n">
        <f aca="false">B38*C38</f>
        <v>32.5</v>
      </c>
      <c r="E38" s="10"/>
    </row>
    <row r="39" customFormat="false" ht="15" hidden="false" customHeight="false" outlineLevel="0" collapsed="false">
      <c r="A39" s="4" t="s">
        <v>61</v>
      </c>
      <c r="B39" s="5" t="n">
        <v>100</v>
      </c>
      <c r="C39" s="6" t="n">
        <f aca="false">'Ingredient Prices'!E11</f>
        <v>0.095</v>
      </c>
      <c r="D39" s="20" t="n">
        <f aca="false">B39*C39</f>
        <v>9.5</v>
      </c>
      <c r="E39" s="10"/>
    </row>
    <row r="40" customFormat="false" ht="15" hidden="false" customHeight="false" outlineLevel="0" collapsed="false">
      <c r="A40" s="9" t="s">
        <v>82</v>
      </c>
      <c r="B40" s="25" t="n">
        <f aca="false">SUM(B38:B39)</f>
        <v>300</v>
      </c>
      <c r="C40" s="10"/>
      <c r="D40" s="26" t="n">
        <f aca="false">SUM(D38:D39)</f>
        <v>42</v>
      </c>
      <c r="E40" s="10"/>
    </row>
    <row r="41" customFormat="false" ht="15" hidden="false" customHeight="false" outlineLevel="0" collapsed="false">
      <c r="A41" s="4" t="s">
        <v>83</v>
      </c>
      <c r="B41" s="27" t="n">
        <f aca="false">B40*0.75</f>
        <v>225</v>
      </c>
      <c r="C41" s="14" t="s">
        <v>88</v>
      </c>
      <c r="D41" s="10"/>
      <c r="E41" s="14" t="s">
        <v>89</v>
      </c>
    </row>
    <row r="42" customFormat="false" ht="15" hidden="false" customHeight="false" outlineLevel="0" collapsed="false">
      <c r="A42" s="9" t="s">
        <v>85</v>
      </c>
      <c r="B42" s="10"/>
      <c r="C42" s="10"/>
      <c r="D42" s="26" t="n">
        <f aca="false">D40/B41</f>
        <v>0.186666666666667</v>
      </c>
      <c r="E42" s="10"/>
    </row>
    <row r="44" customFormat="false" ht="15" hidden="false" customHeight="false" outlineLevel="0" collapsed="false">
      <c r="A44" s="28" t="s">
        <v>24</v>
      </c>
      <c r="B44" s="28"/>
      <c r="C44" s="28"/>
      <c r="D44" s="28"/>
      <c r="E44" s="28"/>
    </row>
    <row r="45" customFormat="false" ht="15" hidden="false" customHeight="false" outlineLevel="0" collapsed="false">
      <c r="A45" s="29" t="s">
        <v>41</v>
      </c>
      <c r="B45" s="29" t="s">
        <v>81</v>
      </c>
      <c r="C45" s="29" t="s">
        <v>4</v>
      </c>
      <c r="D45" s="29" t="s">
        <v>5</v>
      </c>
      <c r="E45" s="29" t="s">
        <v>6</v>
      </c>
    </row>
    <row r="46" customFormat="false" ht="15" hidden="false" customHeight="false" outlineLevel="0" collapsed="false">
      <c r="A46" s="4" t="s">
        <v>54</v>
      </c>
      <c r="B46" s="5" t="n">
        <v>60</v>
      </c>
      <c r="C46" s="6" t="n">
        <f aca="false">'Ingredient Prices'!E7</f>
        <v>0.45</v>
      </c>
      <c r="D46" s="20" t="n">
        <f aca="false">B46*C46</f>
        <v>27</v>
      </c>
      <c r="E46" s="10"/>
    </row>
    <row r="47" customFormat="false" ht="15" hidden="false" customHeight="false" outlineLevel="0" collapsed="false">
      <c r="A47" s="4" t="s">
        <v>57</v>
      </c>
      <c r="B47" s="5" t="n">
        <v>60</v>
      </c>
      <c r="C47" s="6" t="n">
        <f aca="false">'Ingredient Prices'!E9</f>
        <v>0.1625</v>
      </c>
      <c r="D47" s="20" t="n">
        <f aca="false">B47*C47</f>
        <v>9.75</v>
      </c>
      <c r="E47" s="10"/>
    </row>
    <row r="48" customFormat="false" ht="15" hidden="false" customHeight="false" outlineLevel="0" collapsed="false">
      <c r="A48" s="4" t="s">
        <v>90</v>
      </c>
      <c r="B48" s="5" t="n">
        <v>120</v>
      </c>
      <c r="C48" s="30" t="n">
        <f aca="false">D42</f>
        <v>0.186666666666667</v>
      </c>
      <c r="D48" s="20" t="n">
        <f aca="false">B48*C48</f>
        <v>22.4</v>
      </c>
      <c r="E48" s="14" t="s">
        <v>91</v>
      </c>
    </row>
    <row r="49" customFormat="false" ht="15" hidden="false" customHeight="false" outlineLevel="0" collapsed="false">
      <c r="A49" s="9" t="s">
        <v>82</v>
      </c>
      <c r="B49" s="25" t="n">
        <f aca="false">SUM(B46:B48)</f>
        <v>240</v>
      </c>
      <c r="C49" s="10"/>
      <c r="D49" s="26" t="n">
        <f aca="false">SUM(D46:D48)</f>
        <v>59.15</v>
      </c>
      <c r="E49" s="10"/>
    </row>
    <row r="50" customFormat="false" ht="15" hidden="false" customHeight="false" outlineLevel="0" collapsed="false">
      <c r="A50" s="4" t="s">
        <v>83</v>
      </c>
      <c r="B50" s="27" t="n">
        <f aca="false">B49*1</f>
        <v>240</v>
      </c>
      <c r="C50" s="14" t="s">
        <v>84</v>
      </c>
      <c r="D50" s="10"/>
      <c r="E50" s="14" t="s">
        <v>92</v>
      </c>
    </row>
    <row r="51" customFormat="false" ht="15" hidden="false" customHeight="false" outlineLevel="0" collapsed="false">
      <c r="A51" s="9" t="s">
        <v>85</v>
      </c>
      <c r="B51" s="10"/>
      <c r="C51" s="10"/>
      <c r="D51" s="26" t="n">
        <f aca="false">D49/B50</f>
        <v>0.246458333333333</v>
      </c>
      <c r="E51" s="10"/>
    </row>
    <row r="53" customFormat="false" ht="15" hidden="false" customHeight="false" outlineLevel="0" collapsed="false">
      <c r="A53" s="28" t="s">
        <v>25</v>
      </c>
      <c r="B53" s="28"/>
      <c r="C53" s="28"/>
      <c r="D53" s="28"/>
      <c r="E53" s="28"/>
    </row>
    <row r="54" customFormat="false" ht="15" hidden="false" customHeight="false" outlineLevel="0" collapsed="false">
      <c r="A54" s="29" t="s">
        <v>41</v>
      </c>
      <c r="B54" s="29" t="s">
        <v>81</v>
      </c>
      <c r="C54" s="29" t="s">
        <v>4</v>
      </c>
      <c r="D54" s="29" t="s">
        <v>5</v>
      </c>
      <c r="E54" s="29" t="s">
        <v>6</v>
      </c>
    </row>
    <row r="55" customFormat="false" ht="15" hidden="false" customHeight="false" outlineLevel="0" collapsed="false">
      <c r="A55" s="4" t="s">
        <v>59</v>
      </c>
      <c r="B55" s="5" t="n">
        <v>200</v>
      </c>
      <c r="C55" s="6" t="n">
        <f aca="false">'Ingredient Prices'!E10</f>
        <v>0.175</v>
      </c>
      <c r="D55" s="20" t="n">
        <f aca="false">B55*C55</f>
        <v>35</v>
      </c>
      <c r="E55" s="10"/>
    </row>
    <row r="56" customFormat="false" ht="15" hidden="false" customHeight="false" outlineLevel="0" collapsed="false">
      <c r="A56" s="9" t="s">
        <v>82</v>
      </c>
      <c r="B56" s="25" t="n">
        <f aca="false">SUM(B55:B55)</f>
        <v>200</v>
      </c>
      <c r="C56" s="10"/>
      <c r="D56" s="26" t="n">
        <f aca="false">SUM(D55:D55)</f>
        <v>35</v>
      </c>
      <c r="E56" s="10"/>
    </row>
    <row r="57" customFormat="false" ht="15" hidden="false" customHeight="false" outlineLevel="0" collapsed="false">
      <c r="A57" s="4" t="s">
        <v>83</v>
      </c>
      <c r="B57" s="27" t="n">
        <f aca="false">B56*0.25</f>
        <v>50</v>
      </c>
      <c r="C57" s="14" t="s">
        <v>93</v>
      </c>
      <c r="D57" s="10"/>
      <c r="E57" s="14" t="s">
        <v>94</v>
      </c>
    </row>
    <row r="58" customFormat="false" ht="15" hidden="false" customHeight="false" outlineLevel="0" collapsed="false">
      <c r="A58" s="9" t="s">
        <v>85</v>
      </c>
      <c r="B58" s="10"/>
      <c r="C58" s="10"/>
      <c r="D58" s="26" t="n">
        <f aca="false">D56/B57</f>
        <v>0.7</v>
      </c>
      <c r="E58" s="10"/>
    </row>
    <row r="60" customFormat="false" ht="15" hidden="false" customHeight="false" outlineLevel="0" collapsed="false">
      <c r="A60" s="24" t="s">
        <v>18</v>
      </c>
      <c r="B60" s="24"/>
      <c r="C60" s="24"/>
      <c r="D60" s="24"/>
      <c r="E60" s="24"/>
    </row>
    <row r="61" customFormat="false" ht="15" hidden="false" customHeight="false" outlineLevel="0" collapsed="false">
      <c r="A61" s="3" t="s">
        <v>41</v>
      </c>
      <c r="B61" s="3" t="s">
        <v>81</v>
      </c>
      <c r="C61" s="3" t="s">
        <v>4</v>
      </c>
      <c r="D61" s="3" t="s">
        <v>5</v>
      </c>
      <c r="E61" s="3" t="s">
        <v>6</v>
      </c>
    </row>
    <row r="62" customFormat="false" ht="15" hidden="false" customHeight="false" outlineLevel="0" collapsed="false">
      <c r="A62" s="4" t="s">
        <v>63</v>
      </c>
      <c r="B62" s="5" t="n">
        <v>100</v>
      </c>
      <c r="C62" s="6" t="n">
        <f aca="false">'Ingredient Prices'!E12</f>
        <v>0.09</v>
      </c>
      <c r="D62" s="20" t="n">
        <f aca="false">B62*C62</f>
        <v>9</v>
      </c>
      <c r="E62" s="10"/>
    </row>
    <row r="63" customFormat="false" ht="15" hidden="false" customHeight="false" outlineLevel="0" collapsed="false">
      <c r="A63" s="4" t="s">
        <v>50</v>
      </c>
      <c r="B63" s="5" t="n">
        <v>100</v>
      </c>
      <c r="C63" s="6" t="n">
        <f aca="false">'Ingredient Prices'!E5</f>
        <v>5E-005</v>
      </c>
      <c r="D63" s="20" t="n">
        <f aca="false">B63*C63</f>
        <v>0.005</v>
      </c>
      <c r="E63" s="10"/>
    </row>
    <row r="64" customFormat="false" ht="15" hidden="false" customHeight="false" outlineLevel="0" collapsed="false">
      <c r="A64" s="9" t="s">
        <v>82</v>
      </c>
      <c r="B64" s="25" t="n">
        <f aca="false">SUM(B62:B63)</f>
        <v>200</v>
      </c>
      <c r="C64" s="10"/>
      <c r="D64" s="26" t="n">
        <f aca="false">SUM(D62:D63)</f>
        <v>9.005</v>
      </c>
      <c r="E64" s="10"/>
    </row>
    <row r="65" customFormat="false" ht="15" hidden="false" customHeight="false" outlineLevel="0" collapsed="false">
      <c r="A65" s="4" t="s">
        <v>83</v>
      </c>
      <c r="B65" s="27" t="n">
        <f aca="false">B64*1</f>
        <v>200</v>
      </c>
      <c r="C65" s="14" t="s">
        <v>84</v>
      </c>
      <c r="D65" s="10"/>
      <c r="E65" s="14" t="s">
        <v>95</v>
      </c>
    </row>
    <row r="66" customFormat="false" ht="15" hidden="false" customHeight="false" outlineLevel="0" collapsed="false">
      <c r="A66" s="9" t="s">
        <v>85</v>
      </c>
      <c r="B66" s="10"/>
      <c r="C66" s="10"/>
      <c r="D66" s="26" t="n">
        <f aca="false">D64/B65</f>
        <v>0.045025</v>
      </c>
      <c r="E66" s="10"/>
    </row>
    <row r="68" customFormat="false" ht="15" hidden="false" customHeight="false" outlineLevel="0" collapsed="false">
      <c r="A68" s="24" t="s">
        <v>15</v>
      </c>
      <c r="B68" s="24"/>
      <c r="C68" s="24"/>
      <c r="D68" s="24"/>
      <c r="E68" s="24"/>
    </row>
    <row r="69" customFormat="false" ht="15" hidden="false" customHeight="false" outlineLevel="0" collapsed="false">
      <c r="A69" s="3" t="s">
        <v>41</v>
      </c>
      <c r="B69" s="3" t="s">
        <v>81</v>
      </c>
      <c r="C69" s="3" t="s">
        <v>4</v>
      </c>
      <c r="D69" s="3" t="s">
        <v>5</v>
      </c>
      <c r="E69" s="3" t="s">
        <v>6</v>
      </c>
    </row>
    <row r="70" customFormat="false" ht="15" hidden="false" customHeight="false" outlineLevel="0" collapsed="false">
      <c r="A70" s="4" t="s">
        <v>50</v>
      </c>
      <c r="B70" s="5" t="n">
        <v>240</v>
      </c>
      <c r="C70" s="6" t="n">
        <f aca="false">'Ingredient Prices'!E5</f>
        <v>5E-005</v>
      </c>
      <c r="D70" s="20" t="n">
        <f aca="false">B70*C70</f>
        <v>0.012</v>
      </c>
      <c r="E70" s="10"/>
    </row>
    <row r="71" customFormat="false" ht="15" hidden="false" customHeight="false" outlineLevel="0" collapsed="false">
      <c r="A71" s="4" t="s">
        <v>63</v>
      </c>
      <c r="B71" s="5" t="n">
        <v>200</v>
      </c>
      <c r="C71" s="6" t="n">
        <f aca="false">'Ingredient Prices'!E12</f>
        <v>0.09</v>
      </c>
      <c r="D71" s="20" t="n">
        <f aca="false">B71*C71</f>
        <v>18</v>
      </c>
      <c r="E71" s="10"/>
    </row>
    <row r="72" customFormat="false" ht="15" hidden="false" customHeight="false" outlineLevel="0" collapsed="false">
      <c r="A72" s="4" t="s">
        <v>68</v>
      </c>
      <c r="B72" s="5" t="n">
        <v>3</v>
      </c>
      <c r="C72" s="6" t="n">
        <f aca="false">'Ingredient Prices'!E15</f>
        <v>17</v>
      </c>
      <c r="D72" s="20" t="n">
        <f aca="false">B72*C72</f>
        <v>51</v>
      </c>
      <c r="E72" s="10"/>
    </row>
    <row r="73" customFormat="false" ht="15" hidden="false" customHeight="false" outlineLevel="0" collapsed="false">
      <c r="A73" s="9" t="s">
        <v>82</v>
      </c>
      <c r="B73" s="25" t="n">
        <f aca="false">SUM(B70:B72)</f>
        <v>443</v>
      </c>
      <c r="C73" s="10"/>
      <c r="D73" s="26" t="n">
        <f aca="false">SUM(D70:D72)</f>
        <v>69.012</v>
      </c>
      <c r="E73" s="10"/>
    </row>
    <row r="74" customFormat="false" ht="15" hidden="false" customHeight="false" outlineLevel="0" collapsed="false">
      <c r="A74" s="4" t="s">
        <v>83</v>
      </c>
      <c r="B74" s="27" t="n">
        <f aca="false">B73*0.9</f>
        <v>398.7</v>
      </c>
      <c r="C74" s="14" t="s">
        <v>96</v>
      </c>
      <c r="D74" s="10"/>
      <c r="E74" s="14" t="s">
        <v>97</v>
      </c>
    </row>
    <row r="75" customFormat="false" ht="15" hidden="false" customHeight="false" outlineLevel="0" collapsed="false">
      <c r="A75" s="9" t="s">
        <v>85</v>
      </c>
      <c r="B75" s="10"/>
      <c r="C75" s="10"/>
      <c r="D75" s="26" t="n">
        <f aca="false">D73/B74</f>
        <v>0.173092550790068</v>
      </c>
      <c r="E75" s="10"/>
    </row>
  </sheetData>
  <mergeCells count="10">
    <mergeCell ref="A1:E1"/>
    <mergeCell ref="A3:E3"/>
    <mergeCell ref="A11:E11"/>
    <mergeCell ref="A19:E19"/>
    <mergeCell ref="A28:E28"/>
    <mergeCell ref="A36:E36"/>
    <mergeCell ref="A44:E44"/>
    <mergeCell ref="A53:E53"/>
    <mergeCell ref="A60:E60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8"/>
  </cols>
  <sheetData>
    <row r="1" customFormat="false" ht="19.7" hidden="false" customHeight="false" outlineLevel="0" collapsed="false">
      <c r="A1" s="1" t="s">
        <v>98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1" t="s">
        <v>99</v>
      </c>
      <c r="B3" s="32" t="n">
        <v>150</v>
      </c>
      <c r="C3" s="33" t="s">
        <v>100</v>
      </c>
      <c r="E3" s="34" t="s">
        <v>101</v>
      </c>
      <c r="F3" s="34"/>
    </row>
    <row r="4" customFormat="false" ht="15" hidden="false" customHeight="false" outlineLevel="0" collapsed="false">
      <c r="A4" s="31" t="s">
        <v>102</v>
      </c>
      <c r="B4" s="35" t="n">
        <v>0.1</v>
      </c>
      <c r="C4" s="36" t="s">
        <v>103</v>
      </c>
    </row>
    <row r="5" customFormat="false" ht="15" hidden="false" customHeight="false" outlineLevel="0" collapsed="false">
      <c r="A5" s="31" t="s">
        <v>104</v>
      </c>
      <c r="B5" s="37" t="n">
        <f aca="false">B3*(1+B4)</f>
        <v>165</v>
      </c>
      <c r="C5" s="36" t="s">
        <v>105</v>
      </c>
    </row>
    <row r="7" customFormat="false" ht="15" hidden="false" customHeight="false" outlineLevel="0" collapsed="false">
      <c r="A7" s="12" t="s">
        <v>106</v>
      </c>
      <c r="B7" s="12"/>
      <c r="C7" s="12"/>
      <c r="D7" s="12"/>
      <c r="E7" s="12"/>
      <c r="F7" s="12"/>
    </row>
    <row r="8" customFormat="false" ht="15" hidden="false" customHeight="false" outlineLevel="0" collapsed="false">
      <c r="A8" s="3" t="s">
        <v>41</v>
      </c>
      <c r="B8" s="3" t="s">
        <v>107</v>
      </c>
      <c r="C8" s="3" t="s">
        <v>43</v>
      </c>
      <c r="D8" s="3" t="s">
        <v>108</v>
      </c>
      <c r="E8" s="3" t="s">
        <v>42</v>
      </c>
      <c r="F8" s="3" t="s">
        <v>109</v>
      </c>
    </row>
    <row r="9" customFormat="false" ht="15" hidden="false" customHeight="false" outlineLevel="0" collapsed="false">
      <c r="A9" s="4" t="s">
        <v>7</v>
      </c>
      <c r="B9" s="5" t="n">
        <v>20</v>
      </c>
      <c r="C9" s="19" t="s">
        <v>48</v>
      </c>
      <c r="D9" s="27" t="n">
        <f aca="false">B9*$B$5</f>
        <v>3300</v>
      </c>
      <c r="E9" s="38" t="s">
        <v>110</v>
      </c>
      <c r="F9" s="37" t="n">
        <f aca="false">ROUNDUP(D9/500,0)</f>
        <v>7</v>
      </c>
    </row>
    <row r="10" customFormat="false" ht="15" hidden="false" customHeight="false" outlineLevel="0" collapsed="false">
      <c r="A10" s="4" t="s">
        <v>111</v>
      </c>
      <c r="B10" s="5" t="n">
        <v>195</v>
      </c>
      <c r="C10" s="19" t="s">
        <v>48</v>
      </c>
      <c r="D10" s="27" t="n">
        <f aca="false">B10*$B$5</f>
        <v>32175</v>
      </c>
      <c r="E10" s="38" t="s">
        <v>112</v>
      </c>
      <c r="F10" s="37" t="n">
        <f aca="false">ROUNDUP(D10/1000,0)</f>
        <v>33</v>
      </c>
    </row>
    <row r="11" customFormat="false" ht="15" hidden="false" customHeight="false" outlineLevel="0" collapsed="false">
      <c r="A11" s="4" t="s">
        <v>19</v>
      </c>
      <c r="B11" s="5" t="n">
        <v>0.1</v>
      </c>
      <c r="C11" s="19" t="s">
        <v>71</v>
      </c>
      <c r="D11" s="27" t="n">
        <f aca="false">B11*$B$5</f>
        <v>16.5</v>
      </c>
      <c r="E11" s="38" t="s">
        <v>113</v>
      </c>
      <c r="F11" s="37" t="n">
        <f aca="false">ROUNDUP(D11/20,0)</f>
        <v>1</v>
      </c>
    </row>
    <row r="12" customFormat="false" ht="15" hidden="false" customHeight="false" outlineLevel="0" collapsed="false">
      <c r="A12" s="4" t="s">
        <v>114</v>
      </c>
      <c r="B12" s="5" t="n">
        <v>1</v>
      </c>
      <c r="C12" s="19" t="s">
        <v>69</v>
      </c>
      <c r="D12" s="27" t="n">
        <f aca="false">B12*$B$5</f>
        <v>165</v>
      </c>
      <c r="E12" s="38" t="s">
        <v>115</v>
      </c>
      <c r="F12" s="37" t="n">
        <f aca="false">ROUNDUP(D12/25,0)</f>
        <v>7</v>
      </c>
    </row>
    <row r="13" customFormat="false" ht="15" hidden="false" customHeight="false" outlineLevel="0" collapsed="false">
      <c r="A13" s="4" t="s">
        <v>12</v>
      </c>
      <c r="B13" s="5" t="n">
        <v>4</v>
      </c>
      <c r="C13" s="19" t="s">
        <v>69</v>
      </c>
      <c r="D13" s="27" t="n">
        <f aca="false">B13*$B$5</f>
        <v>660</v>
      </c>
      <c r="E13" s="38" t="s">
        <v>116</v>
      </c>
      <c r="F13" s="37" t="n">
        <f aca="false">ROUNDUP(D13/50,0)</f>
        <v>14</v>
      </c>
    </row>
    <row r="14" customFormat="false" ht="15" hidden="false" customHeight="false" outlineLevel="0" collapsed="false">
      <c r="A14" s="4" t="s">
        <v>75</v>
      </c>
      <c r="B14" s="5" t="n">
        <v>1</v>
      </c>
      <c r="C14" s="19" t="s">
        <v>69</v>
      </c>
      <c r="D14" s="27" t="n">
        <f aca="false">B14*$B$5</f>
        <v>165</v>
      </c>
      <c r="E14" s="38" t="s">
        <v>117</v>
      </c>
      <c r="F14" s="37" t="n">
        <f aca="false">ROUNDUP(D14/100,0)</f>
        <v>2</v>
      </c>
    </row>
    <row r="16" customFormat="false" ht="15" hidden="false" customHeight="false" outlineLevel="0" collapsed="false">
      <c r="A16" s="12" t="s">
        <v>118</v>
      </c>
      <c r="B16" s="12"/>
      <c r="C16" s="12"/>
      <c r="D16" s="12"/>
      <c r="E16" s="12"/>
      <c r="F16" s="12"/>
    </row>
    <row r="17" customFormat="false" ht="15" hidden="false" customHeight="false" outlineLevel="0" collapsed="false">
      <c r="A17" s="3" t="s">
        <v>119</v>
      </c>
      <c r="B17" s="3" t="s">
        <v>120</v>
      </c>
      <c r="C17" s="3" t="s">
        <v>43</v>
      </c>
      <c r="D17" s="3" t="s">
        <v>121</v>
      </c>
      <c r="E17" s="3" t="s">
        <v>122</v>
      </c>
      <c r="F17" s="3" t="s">
        <v>123</v>
      </c>
    </row>
    <row r="18" customFormat="false" ht="15" hidden="false" customHeight="false" outlineLevel="0" collapsed="false">
      <c r="A18" s="4" t="s">
        <v>15</v>
      </c>
      <c r="B18" s="5" t="n">
        <v>20</v>
      </c>
      <c r="C18" s="19" t="s">
        <v>48</v>
      </c>
      <c r="D18" s="27" t="n">
        <f aca="false">B18*$B$5</f>
        <v>3300</v>
      </c>
      <c r="E18" s="4" t="s">
        <v>124</v>
      </c>
      <c r="F18" s="37" t="n">
        <f aca="false">ROUNDUP(D18/1000,0)</f>
        <v>4</v>
      </c>
    </row>
    <row r="19" customFormat="false" ht="15" hidden="false" customHeight="false" outlineLevel="0" collapsed="false">
      <c r="A19" s="4" t="s">
        <v>18</v>
      </c>
      <c r="B19" s="5" t="n">
        <v>16</v>
      </c>
      <c r="C19" s="19" t="s">
        <v>48</v>
      </c>
      <c r="D19" s="27" t="n">
        <f aca="false">B19*$B$5</f>
        <v>2640</v>
      </c>
      <c r="E19" s="4" t="s">
        <v>124</v>
      </c>
      <c r="F19" s="37" t="n">
        <f aca="false">ROUNDUP(D19/1000,0)</f>
        <v>3</v>
      </c>
    </row>
    <row r="20" customFormat="false" ht="15" hidden="false" customHeight="false" outlineLevel="0" collapsed="false">
      <c r="A20" s="4" t="s">
        <v>23</v>
      </c>
      <c r="B20" s="5" t="n">
        <v>87</v>
      </c>
      <c r="C20" s="19" t="s">
        <v>48</v>
      </c>
      <c r="D20" s="27" t="n">
        <f aca="false">B20*$B$5</f>
        <v>14355</v>
      </c>
      <c r="E20" s="4" t="s">
        <v>125</v>
      </c>
      <c r="F20" s="37" t="n">
        <f aca="false">ROUNDUP(D20/2000,0)</f>
        <v>8</v>
      </c>
    </row>
    <row r="21" customFormat="false" ht="15" hidden="false" customHeight="false" outlineLevel="0" collapsed="false">
      <c r="A21" s="4" t="s">
        <v>126</v>
      </c>
      <c r="B21" s="5" t="n">
        <v>27</v>
      </c>
      <c r="C21" s="19" t="s">
        <v>48</v>
      </c>
      <c r="D21" s="27" t="n">
        <f aca="false">B21*$B$5</f>
        <v>4455</v>
      </c>
      <c r="E21" s="4" t="s">
        <v>127</v>
      </c>
      <c r="F21" s="37" t="n">
        <f aca="false">ROUNDUP(D21/2000,0)</f>
        <v>3</v>
      </c>
    </row>
    <row r="22" customFormat="false" ht="15" hidden="false" customHeight="false" outlineLevel="0" collapsed="false">
      <c r="A22" s="4" t="s">
        <v>128</v>
      </c>
      <c r="B22" s="5" t="n">
        <v>60</v>
      </c>
      <c r="C22" s="19" t="s">
        <v>48</v>
      </c>
      <c r="D22" s="27" t="n">
        <f aca="false">B22*$B$5</f>
        <v>9900</v>
      </c>
      <c r="E22" s="4" t="s">
        <v>129</v>
      </c>
      <c r="F22" s="37" t="n">
        <f aca="false">ROUNDUP(D22/2000,0)</f>
        <v>5</v>
      </c>
    </row>
    <row r="23" customFormat="false" ht="15" hidden="false" customHeight="false" outlineLevel="0" collapsed="false">
      <c r="A23" s="4" t="s">
        <v>87</v>
      </c>
      <c r="B23" s="5" t="n">
        <v>30</v>
      </c>
      <c r="C23" s="19" t="s">
        <v>48</v>
      </c>
      <c r="D23" s="27" t="n">
        <f aca="false">B23*$B$5</f>
        <v>4950</v>
      </c>
      <c r="E23" s="4" t="s">
        <v>130</v>
      </c>
      <c r="F23" s="37" t="n">
        <f aca="false">ROUNDUP(D23/500,0)</f>
        <v>10</v>
      </c>
    </row>
    <row r="24" customFormat="false" ht="15" hidden="false" customHeight="false" outlineLevel="0" collapsed="false">
      <c r="A24" s="4" t="s">
        <v>131</v>
      </c>
      <c r="B24" s="5" t="n">
        <v>5</v>
      </c>
      <c r="C24" s="19" t="s">
        <v>48</v>
      </c>
      <c r="D24" s="27" t="n">
        <f aca="false">B24*$B$5</f>
        <v>825</v>
      </c>
      <c r="E24" s="4" t="s">
        <v>132</v>
      </c>
      <c r="F24" s="37" t="n">
        <f aca="false">ROUNDUP(D24/5,0)</f>
        <v>165</v>
      </c>
    </row>
    <row r="25" customFormat="false" ht="15" hidden="false" customHeight="false" outlineLevel="0" collapsed="false">
      <c r="A25" s="4" t="s">
        <v>133</v>
      </c>
      <c r="B25" s="5" t="n">
        <v>2</v>
      </c>
      <c r="C25" s="19" t="s">
        <v>48</v>
      </c>
      <c r="D25" s="27" t="n">
        <f aca="false">B25*$B$5</f>
        <v>330</v>
      </c>
      <c r="E25" s="4" t="s">
        <v>134</v>
      </c>
      <c r="F25" s="37" t="n">
        <f aca="false">ROUNDUP(D25/12,0)</f>
        <v>28</v>
      </c>
    </row>
    <row r="26" customFormat="false" ht="15" hidden="false" customHeight="false" outlineLevel="0" collapsed="false">
      <c r="A26" s="4" t="s">
        <v>135</v>
      </c>
      <c r="B26" s="5" t="n">
        <v>2</v>
      </c>
      <c r="C26" s="19" t="s">
        <v>48</v>
      </c>
      <c r="D26" s="27" t="n">
        <f aca="false">B26*$B$5</f>
        <v>330</v>
      </c>
      <c r="E26" s="4" t="s">
        <v>134</v>
      </c>
      <c r="F26" s="37" t="n">
        <f aca="false">ROUNDUP(D26/12,0)</f>
        <v>28</v>
      </c>
    </row>
    <row r="28" customFormat="false" ht="15" hidden="false" customHeight="false" outlineLevel="0" collapsed="false">
      <c r="A28" s="12" t="s">
        <v>136</v>
      </c>
      <c r="B28" s="12"/>
      <c r="C28" s="12"/>
      <c r="D28" s="12"/>
      <c r="E28" s="12"/>
      <c r="F28" s="12"/>
    </row>
    <row r="29" customFormat="false" ht="15" hidden="false" customHeight="false" outlineLevel="0" collapsed="false">
      <c r="A29" s="3" t="s">
        <v>137</v>
      </c>
      <c r="B29" s="3" t="s">
        <v>138</v>
      </c>
      <c r="C29" s="3" t="s">
        <v>139</v>
      </c>
      <c r="D29" s="3" t="s">
        <v>43</v>
      </c>
      <c r="E29" s="3" t="s">
        <v>108</v>
      </c>
      <c r="F29" s="3" t="s">
        <v>109</v>
      </c>
    </row>
    <row r="30" customFormat="false" ht="15" hidden="false" customHeight="false" outlineLevel="0" collapsed="false">
      <c r="A30" s="4" t="s">
        <v>47</v>
      </c>
      <c r="B30" s="8" t="s">
        <v>140</v>
      </c>
      <c r="C30" s="39" t="n">
        <v>8</v>
      </c>
      <c r="D30" s="19" t="s">
        <v>48</v>
      </c>
      <c r="E30" s="27" t="n">
        <f aca="false">C30*$B$5</f>
        <v>1320</v>
      </c>
      <c r="F30" s="40" t="str">
        <f aca="false">ROUNDUP(E30/100,0)&amp;" × 100g pack"</f>
        <v>14 × 100g pack</v>
      </c>
    </row>
    <row r="31" customFormat="false" ht="15" hidden="false" customHeight="false" outlineLevel="0" collapsed="false">
      <c r="A31" s="4" t="s">
        <v>9</v>
      </c>
      <c r="B31" s="8" t="s">
        <v>141</v>
      </c>
      <c r="C31" s="39" t="n">
        <v>280</v>
      </c>
      <c r="D31" s="19" t="s">
        <v>48</v>
      </c>
      <c r="E31" s="27" t="n">
        <f aca="false">C31*$B$5</f>
        <v>46200</v>
      </c>
      <c r="F31" s="40" t="str">
        <f aca="false">ROUNDUP(E31/1000,0)&amp;" × 1L carton"</f>
        <v>47 × 1L carton</v>
      </c>
    </row>
    <row r="32" customFormat="false" ht="15" hidden="false" customHeight="false" outlineLevel="0" collapsed="false">
      <c r="A32" s="4" t="s">
        <v>142</v>
      </c>
      <c r="B32" s="8" t="s">
        <v>143</v>
      </c>
      <c r="C32" s="39" t="n">
        <v>20</v>
      </c>
      <c r="D32" s="19" t="s">
        <v>48</v>
      </c>
      <c r="E32" s="27" t="n">
        <f aca="false">C32*$B$5</f>
        <v>3300</v>
      </c>
      <c r="F32" s="40" t="str">
        <f aca="false">ROUNDUP(E32/1000,0)&amp;" × L (use kettle)"</f>
        <v>4 × L (use kettle)</v>
      </c>
    </row>
    <row r="33" customFormat="false" ht="15" hidden="false" customHeight="false" outlineLevel="0" collapsed="false">
      <c r="A33" s="4" t="s">
        <v>52</v>
      </c>
      <c r="B33" s="8" t="s">
        <v>144</v>
      </c>
      <c r="C33" s="39" t="n">
        <v>25</v>
      </c>
      <c r="D33" s="19" t="s">
        <v>48</v>
      </c>
      <c r="E33" s="27" t="n">
        <f aca="false">C33*$B$5</f>
        <v>4125</v>
      </c>
      <c r="F33" s="40" t="str">
        <f aca="false">ROUNDUP(E33/1000,0)&amp;" × 1L carton"</f>
        <v>5 × 1L carton</v>
      </c>
    </row>
    <row r="34" customFormat="false" ht="15" hidden="false" customHeight="false" outlineLevel="0" collapsed="false">
      <c r="A34" s="4" t="s">
        <v>54</v>
      </c>
      <c r="B34" s="8" t="s">
        <v>145</v>
      </c>
      <c r="C34" s="39" t="n">
        <v>35</v>
      </c>
      <c r="D34" s="19" t="s">
        <v>48</v>
      </c>
      <c r="E34" s="27" t="n">
        <f aca="false">C34*$B$5</f>
        <v>5775</v>
      </c>
      <c r="F34" s="40" t="str">
        <f aca="false">ROUNDUP(E34/1000,0)&amp;" × 1L carton"</f>
        <v>6 × 1L carton</v>
      </c>
    </row>
    <row r="35" customFormat="false" ht="15" hidden="false" customHeight="false" outlineLevel="0" collapsed="false">
      <c r="A35" s="4" t="s">
        <v>57</v>
      </c>
      <c r="B35" s="8" t="s">
        <v>146</v>
      </c>
      <c r="C35" s="39" t="n">
        <v>41.67</v>
      </c>
      <c r="D35" s="19" t="s">
        <v>48</v>
      </c>
      <c r="E35" s="27" t="n">
        <f aca="false">C35*$B$5</f>
        <v>6875.55</v>
      </c>
      <c r="F35" s="40" t="str">
        <f aca="false">ROUNDUP(E35/400,0)&amp;" × 400ml can"</f>
        <v>18 × 400ml can</v>
      </c>
    </row>
    <row r="36" customFormat="false" ht="15" hidden="false" customHeight="false" outlineLevel="0" collapsed="false">
      <c r="A36" s="4" t="s">
        <v>59</v>
      </c>
      <c r="B36" s="8" t="s">
        <v>25</v>
      </c>
      <c r="C36" s="39" t="n">
        <v>20</v>
      </c>
      <c r="D36" s="19" t="s">
        <v>48</v>
      </c>
      <c r="E36" s="27" t="n">
        <f aca="false">C36*$B$5</f>
        <v>3300</v>
      </c>
      <c r="F36" s="40" t="str">
        <f aca="false">ROUNDUP(E36/400,0)&amp;" × 400ml can"</f>
        <v>9 × 400ml can</v>
      </c>
    </row>
    <row r="37" customFormat="false" ht="15" hidden="false" customHeight="false" outlineLevel="0" collapsed="false">
      <c r="A37" s="4" t="s">
        <v>61</v>
      </c>
      <c r="B37" s="8" t="s">
        <v>87</v>
      </c>
      <c r="C37" s="39" t="n">
        <v>13.33</v>
      </c>
      <c r="D37" s="19" t="s">
        <v>48</v>
      </c>
      <c r="E37" s="27" t="n">
        <f aca="false">C37*$B$5</f>
        <v>2199.45</v>
      </c>
      <c r="F37" s="40" t="str">
        <f aca="false">ROUNDUP(E37/1000,0)&amp;" × 1kg pack"</f>
        <v>3 × 1kg pack</v>
      </c>
    </row>
    <row r="38" customFormat="false" ht="15" hidden="false" customHeight="false" outlineLevel="0" collapsed="false">
      <c r="A38" s="4" t="s">
        <v>147</v>
      </c>
      <c r="B38" s="8" t="s">
        <v>148</v>
      </c>
      <c r="C38" s="39" t="n">
        <v>18.04</v>
      </c>
      <c r="D38" s="19" t="s">
        <v>48</v>
      </c>
      <c r="E38" s="27" t="n">
        <f aca="false">C38*$B$5</f>
        <v>2976.6</v>
      </c>
      <c r="F38" s="40" t="str">
        <f aca="false">ROUNDUP(E38/1000,0)&amp;" × 1kg pack"</f>
        <v>3 × 1kg pack</v>
      </c>
    </row>
    <row r="39" customFormat="false" ht="15" hidden="false" customHeight="false" outlineLevel="0" collapsed="false">
      <c r="A39" s="4" t="s">
        <v>68</v>
      </c>
      <c r="B39" s="8" t="s">
        <v>15</v>
      </c>
      <c r="C39" s="39" t="n">
        <v>0.151</v>
      </c>
      <c r="D39" s="19" t="s">
        <v>69</v>
      </c>
      <c r="E39" s="27" t="n">
        <f aca="false">C39*$B$5</f>
        <v>24.915</v>
      </c>
      <c r="F39" s="40" t="str">
        <f aca="false">ROUNDUP(E39/10,0)&amp;" × 10-bag box"</f>
        <v>3 × 10-bag box</v>
      </c>
    </row>
    <row r="40" customFormat="false" ht="15" hidden="false" customHeight="false" outlineLevel="0" collapsed="false">
      <c r="A40" s="4" t="s">
        <v>149</v>
      </c>
      <c r="B40" s="8" t="s">
        <v>148</v>
      </c>
      <c r="C40" s="39" t="n">
        <v>20.04</v>
      </c>
      <c r="D40" s="19" t="s">
        <v>48</v>
      </c>
      <c r="E40" s="27" t="n">
        <f aca="false">C40*$B$5</f>
        <v>3306.6</v>
      </c>
      <c r="F40" s="40" t="str">
        <f aca="false">ROUNDUP(E40/1000,0)&amp;" × L (use kettle)"</f>
        <v>4 × L (use kettle)</v>
      </c>
    </row>
    <row r="42" customFormat="false" ht="15" hidden="false" customHeight="false" outlineLevel="0" collapsed="false">
      <c r="A42" s="12" t="s">
        <v>150</v>
      </c>
      <c r="B42" s="12"/>
      <c r="C42" s="12"/>
      <c r="D42" s="12"/>
      <c r="E42" s="12"/>
      <c r="F42" s="12"/>
    </row>
    <row r="43" customFormat="false" ht="15" hidden="false" customHeight="false" outlineLevel="0" collapsed="false">
      <c r="A43" s="3" t="s">
        <v>119</v>
      </c>
      <c r="B43" s="3" t="s">
        <v>151</v>
      </c>
      <c r="C43" s="3" t="s">
        <v>152</v>
      </c>
      <c r="D43" s="3" t="s">
        <v>153</v>
      </c>
      <c r="E43" s="3" t="s">
        <v>154</v>
      </c>
      <c r="F43" s="3" t="s">
        <v>155</v>
      </c>
    </row>
    <row r="44" customFormat="false" ht="15" hidden="false" customHeight="false" outlineLevel="0" collapsed="false">
      <c r="A44" s="9" t="s">
        <v>15</v>
      </c>
      <c r="B44" s="38" t="s">
        <v>156</v>
      </c>
      <c r="C44" s="38" t="s">
        <v>157</v>
      </c>
      <c r="D44" s="41" t="n">
        <f aca="false">20*$B$5</f>
        <v>3300</v>
      </c>
      <c r="E44" s="37" t="n">
        <f aca="false">ROUNDUP(D44/398.7,0)</f>
        <v>9</v>
      </c>
      <c r="F44" s="8" t="s">
        <v>158</v>
      </c>
    </row>
    <row r="45" customFormat="false" ht="15" hidden="false" customHeight="false" outlineLevel="0" collapsed="false">
      <c r="A45" s="9" t="s">
        <v>18</v>
      </c>
      <c r="B45" s="38" t="s">
        <v>159</v>
      </c>
      <c r="C45" s="38" t="s">
        <v>160</v>
      </c>
      <c r="D45" s="41" t="n">
        <f aca="false">16*$B$5</f>
        <v>2640</v>
      </c>
      <c r="E45" s="37" t="n">
        <f aca="false">ROUNDUP(D45/200,0)</f>
        <v>14</v>
      </c>
      <c r="F45" s="8" t="s">
        <v>161</v>
      </c>
    </row>
    <row r="46" customFormat="false" ht="15" hidden="false" customHeight="false" outlineLevel="0" collapsed="false">
      <c r="A46" s="9" t="s">
        <v>87</v>
      </c>
      <c r="B46" s="38" t="s">
        <v>162</v>
      </c>
      <c r="C46" s="38" t="s">
        <v>163</v>
      </c>
      <c r="D46" s="41" t="n">
        <f aca="false">30*$B$5</f>
        <v>4950</v>
      </c>
      <c r="E46" s="37" t="n">
        <f aca="false">ROUNDUP(D46/225,0)</f>
        <v>22</v>
      </c>
      <c r="F46" s="8" t="s">
        <v>164</v>
      </c>
    </row>
    <row r="47" customFormat="false" ht="15" hidden="false" customHeight="false" outlineLevel="0" collapsed="false">
      <c r="A47" s="9" t="s">
        <v>165</v>
      </c>
      <c r="B47" s="38" t="s">
        <v>166</v>
      </c>
      <c r="C47" s="38" t="s">
        <v>167</v>
      </c>
      <c r="D47" s="41" t="n">
        <f aca="false">60*$B$5</f>
        <v>9900</v>
      </c>
      <c r="E47" s="37" t="n">
        <f aca="false">ROUNDUP(D47/240,0)</f>
        <v>42</v>
      </c>
      <c r="F47" s="8" t="s">
        <v>168</v>
      </c>
    </row>
    <row r="48" customFormat="false" ht="15" hidden="false" customHeight="false" outlineLevel="0" collapsed="false">
      <c r="A48" s="9" t="s">
        <v>169</v>
      </c>
      <c r="B48" s="38" t="s">
        <v>170</v>
      </c>
      <c r="C48" s="38" t="s">
        <v>171</v>
      </c>
      <c r="D48" s="41" t="n">
        <f aca="false">5*$B$5</f>
        <v>825</v>
      </c>
      <c r="E48" s="37" t="n">
        <f aca="false">ROUNDUP(D48/50,0)</f>
        <v>17</v>
      </c>
      <c r="F48" s="8" t="s">
        <v>172</v>
      </c>
    </row>
  </sheetData>
  <mergeCells count="6">
    <mergeCell ref="A1:F1"/>
    <mergeCell ref="E3:F3"/>
    <mergeCell ref="A7:F7"/>
    <mergeCell ref="A16:F16"/>
    <mergeCell ref="A28:F28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2026-05-13T09:28:43Z</dcterms:created>
  <dc:creator>openpyxl</dc:creator>
  <dc:description/>
  <dc:language>en-US</dc:language>
  <cp:lastModifiedBy/>
  <dcterms:modified xsi:type="dcterms:W3CDTF">2026-05-13T09:28:43Z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