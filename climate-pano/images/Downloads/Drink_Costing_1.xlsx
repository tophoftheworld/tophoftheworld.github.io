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ph\Downloads\"/>
    </mc:Choice>
  </mc:AlternateContent>
  <xr:revisionPtr revIDLastSave="0" documentId="13_ncr:1_{60781829-6763-4793-A761-7F3F93561B20}" xr6:coauthVersionLast="47" xr6:coauthVersionMax="47" xr10:uidLastSave="{00000000-0000-0000-0000-000000000000}"/>
  <bookViews>
    <workbookView xWindow="-120" yWindow="-120" windowWidth="51840" windowHeight="21240" tabRatio="500" activeTab="3" xr2:uid="{00000000-000D-0000-FFFF-FFFF00000000}"/>
  </bookViews>
  <sheets>
    <sheet name="Drink Costing" sheetId="1" r:id="rId1"/>
    <sheet name="Ingredient Prices" sheetId="2" r:id="rId2"/>
    <sheet name="Sub-Recipes" sheetId="3" r:id="rId3"/>
    <sheet name="Daily Prep" sheetId="4" r:id="rId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4" l="1"/>
  <c r="D48" i="4" s="1"/>
  <c r="E48" i="4" s="1"/>
  <c r="B73" i="3"/>
  <c r="B74" i="3" s="1"/>
  <c r="B64" i="3"/>
  <c r="B65" i="3" s="1"/>
  <c r="B56" i="3"/>
  <c r="B57" i="3" s="1"/>
  <c r="B49" i="3"/>
  <c r="B50" i="3" s="1"/>
  <c r="B40" i="3"/>
  <c r="B41" i="3" s="1"/>
  <c r="B32" i="3"/>
  <c r="B33" i="3" s="1"/>
  <c r="B24" i="3"/>
  <c r="B25" i="3" s="1"/>
  <c r="C22" i="3"/>
  <c r="D22" i="3" s="1"/>
  <c r="B15" i="3"/>
  <c r="B16" i="3" s="1"/>
  <c r="B7" i="3"/>
  <c r="B8" i="3" s="1"/>
  <c r="E19" i="2"/>
  <c r="E18" i="2"/>
  <c r="C26" i="1" s="1"/>
  <c r="D26" i="1" s="1"/>
  <c r="E17" i="2"/>
  <c r="E16" i="2"/>
  <c r="C23" i="1" s="1"/>
  <c r="D23" i="1" s="1"/>
  <c r="E15" i="2"/>
  <c r="C72" i="3" s="1"/>
  <c r="D72" i="3" s="1"/>
  <c r="E14" i="2"/>
  <c r="E13" i="2"/>
  <c r="E12" i="2"/>
  <c r="C62" i="3" s="1"/>
  <c r="D62" i="3" s="1"/>
  <c r="E11" i="2"/>
  <c r="C39" i="3" s="1"/>
  <c r="D39" i="3" s="1"/>
  <c r="E10" i="2"/>
  <c r="C55" i="3" s="1"/>
  <c r="D55" i="3" s="1"/>
  <c r="D56" i="3" s="1"/>
  <c r="D58" i="3" s="1"/>
  <c r="C34" i="1" s="1"/>
  <c r="D34" i="1" s="1"/>
  <c r="E9" i="2"/>
  <c r="C38" i="3" s="1"/>
  <c r="D38" i="3" s="1"/>
  <c r="D40" i="3" s="1"/>
  <c r="D42" i="3" s="1"/>
  <c r="C48" i="3" s="1"/>
  <c r="D48" i="3" s="1"/>
  <c r="E8" i="2"/>
  <c r="C6" i="1" s="1"/>
  <c r="D6" i="1" s="1"/>
  <c r="E7" i="2"/>
  <c r="C46" i="3" s="1"/>
  <c r="D46" i="3" s="1"/>
  <c r="E6" i="2"/>
  <c r="C14" i="3" s="1"/>
  <c r="D14" i="3" s="1"/>
  <c r="E5" i="2"/>
  <c r="C70" i="3" s="1"/>
  <c r="D70" i="3" s="1"/>
  <c r="E4" i="2"/>
  <c r="C30" i="3" s="1"/>
  <c r="D30" i="3" s="1"/>
  <c r="B45" i="1"/>
  <c r="D35" i="1"/>
  <c r="C35" i="1"/>
  <c r="C24" i="1"/>
  <c r="D24" i="1" s="1"/>
  <c r="C16" i="1"/>
  <c r="D16" i="1" s="1"/>
  <c r="C8" i="1"/>
  <c r="D8" i="1" s="1"/>
  <c r="C5" i="1"/>
  <c r="D5" i="1" s="1"/>
  <c r="D12" i="4" l="1"/>
  <c r="F12" i="4" s="1"/>
  <c r="D14" i="4"/>
  <c r="F14" i="4" s="1"/>
  <c r="D23" i="4"/>
  <c r="F23" i="4" s="1"/>
  <c r="D25" i="4"/>
  <c r="F25" i="4" s="1"/>
  <c r="E34" i="4"/>
  <c r="F34" i="4" s="1"/>
  <c r="E36" i="4"/>
  <c r="F36" i="4" s="1"/>
  <c r="C13" i="3"/>
  <c r="D13" i="3" s="1"/>
  <c r="D15" i="3" s="1"/>
  <c r="D17" i="3" s="1"/>
  <c r="C15" i="1" s="1"/>
  <c r="D15" i="1" s="1"/>
  <c r="C21" i="1"/>
  <c r="D21" i="1" s="1"/>
  <c r="D19" i="4"/>
  <c r="F19" i="4" s="1"/>
  <c r="E30" i="4"/>
  <c r="F30" i="4" s="1"/>
  <c r="E38" i="4"/>
  <c r="F38" i="4" s="1"/>
  <c r="C31" i="3"/>
  <c r="D31" i="3" s="1"/>
  <c r="D32" i="3" s="1"/>
  <c r="D34" i="3" s="1"/>
  <c r="C31" i="1" s="1"/>
  <c r="D31" i="1" s="1"/>
  <c r="C47" i="3"/>
  <c r="D47" i="3" s="1"/>
  <c r="D49" i="3" s="1"/>
  <c r="D51" i="3" s="1"/>
  <c r="C33" i="1" s="1"/>
  <c r="D33" i="1" s="1"/>
  <c r="C63" i="3"/>
  <c r="D63" i="3" s="1"/>
  <c r="D64" i="3" s="1"/>
  <c r="D66" i="3" s="1"/>
  <c r="D9" i="4"/>
  <c r="F9" i="4" s="1"/>
  <c r="D20" i="4"/>
  <c r="F20" i="4" s="1"/>
  <c r="E31" i="4"/>
  <c r="F31" i="4" s="1"/>
  <c r="E39" i="4"/>
  <c r="F39" i="4" s="1"/>
  <c r="D10" i="4"/>
  <c r="F10" i="4" s="1"/>
  <c r="D21" i="4"/>
  <c r="F21" i="4" s="1"/>
  <c r="E32" i="4"/>
  <c r="F32" i="4" s="1"/>
  <c r="E40" i="4"/>
  <c r="F40" i="4" s="1"/>
  <c r="D11" i="4"/>
  <c r="F11" i="4" s="1"/>
  <c r="D22" i="4"/>
  <c r="F22" i="4" s="1"/>
  <c r="E33" i="4"/>
  <c r="F33" i="4" s="1"/>
  <c r="D44" i="4"/>
  <c r="E44" i="4" s="1"/>
  <c r="C5" i="3"/>
  <c r="D5" i="3" s="1"/>
  <c r="D7" i="3" s="1"/>
  <c r="D9" i="3" s="1"/>
  <c r="C7" i="1" s="1"/>
  <c r="D7" i="1" s="1"/>
  <c r="D9" i="1" s="1"/>
  <c r="B41" i="1" s="1"/>
  <c r="C6" i="3"/>
  <c r="D6" i="3" s="1"/>
  <c r="C21" i="3"/>
  <c r="D21" i="3" s="1"/>
  <c r="C14" i="1"/>
  <c r="D14" i="1" s="1"/>
  <c r="D45" i="4"/>
  <c r="E45" i="4" s="1"/>
  <c r="C23" i="3"/>
  <c r="D23" i="3" s="1"/>
  <c r="C71" i="3"/>
  <c r="D71" i="3" s="1"/>
  <c r="D73" i="3" s="1"/>
  <c r="D75" i="3" s="1"/>
  <c r="C13" i="1" s="1"/>
  <c r="D13" i="1" s="1"/>
  <c r="D17" i="1" s="1"/>
  <c r="B42" i="1" s="1"/>
  <c r="D13" i="4"/>
  <c r="F13" i="4" s="1"/>
  <c r="D24" i="4"/>
  <c r="F24" i="4" s="1"/>
  <c r="E35" i="4"/>
  <c r="F35" i="4" s="1"/>
  <c r="D46" i="4"/>
  <c r="E46" i="4" s="1"/>
  <c r="D47" i="4"/>
  <c r="E47" i="4" s="1"/>
  <c r="D18" i="4"/>
  <c r="F18" i="4" s="1"/>
  <c r="D26" i="4"/>
  <c r="F26" i="4" s="1"/>
  <c r="E37" i="4"/>
  <c r="F37" i="4" s="1"/>
  <c r="D36" i="1" l="1"/>
  <c r="B44" i="1" s="1"/>
  <c r="C32" i="1"/>
  <c r="D32" i="1" s="1"/>
  <c r="C22" i="1"/>
  <c r="D22" i="1" s="1"/>
  <c r="D24" i="3"/>
  <c r="D26" i="3" s="1"/>
  <c r="C25" i="1" s="1"/>
  <c r="D25" i="1" s="1"/>
  <c r="D27" i="1" s="1"/>
  <c r="B43" i="1" s="1"/>
  <c r="B46" i="1" s="1"/>
  <c r="C51" i="1" l="1"/>
  <c r="C52" i="1"/>
  <c r="C50" i="1"/>
  <c r="E50" i="1" l="1"/>
  <c r="D50" i="1"/>
  <c r="E52" i="1"/>
  <c r="D52" i="1"/>
  <c r="E51" i="1"/>
  <c r="D51" i="1"/>
</calcChain>
</file>

<file path=xl/sharedStrings.xml><?xml version="1.0" encoding="utf-8"?>
<sst xmlns="http://schemas.openxmlformats.org/spreadsheetml/2006/main" count="397" uniqueCount="173">
  <si>
    <t>TASTING FLIGHT COSTING</t>
  </si>
  <si>
    <t>1. Mango Coconut Matcha</t>
  </si>
  <si>
    <t>Component</t>
  </si>
  <si>
    <t>Amount (g/ml)</t>
  </si>
  <si>
    <t>Cost/Unit (₱)</t>
  </si>
  <si>
    <t>Line Cost (₱)</t>
  </si>
  <si>
    <t>Notes</t>
  </si>
  <si>
    <t>Mango Concentrate</t>
  </si>
  <si>
    <t>Raw ingredient</t>
  </si>
  <si>
    <t>Vita Coco</t>
  </si>
  <si>
    <t>Hot Whisked Matcha</t>
  </si>
  <si>
    <t>Sub-recipe (see Sub-Recipes sheet)</t>
  </si>
  <si>
    <t>Cup</t>
  </si>
  <si>
    <t>INGREDIENT COST</t>
  </si>
  <si>
    <t>2. Earl Grey Coconut Latte</t>
  </si>
  <si>
    <t>Earl Grey Syrup</t>
  </si>
  <si>
    <t>Cold Whisked Oat Matcha</t>
  </si>
  <si>
    <t>3. Coco Pandan Cloud Matcha</t>
  </si>
  <si>
    <t>Sugar Syrup (1:1)</t>
  </si>
  <si>
    <t>Pandan Extract</t>
  </si>
  <si>
    <t>Pandan Leaf (garnish)</t>
  </si>
  <si>
    <t>Matcha Cream</t>
  </si>
  <si>
    <t>4. Latik Foam Coconut Cold Brew</t>
  </si>
  <si>
    <t>Coconut Cold Brew Base</t>
  </si>
  <si>
    <t>Latik Foam</t>
  </si>
  <si>
    <t>Latik Bits (garnish)</t>
  </si>
  <si>
    <t>TASTING FLIGHT SUMMARY (all 4 drinks)</t>
  </si>
  <si>
    <t>Drink</t>
  </si>
  <si>
    <t>Ingredient Cost</t>
  </si>
  <si>
    <t>4-Cup Carrier (per flight)</t>
  </si>
  <si>
    <t>Packaging — 1 carrier per flight</t>
  </si>
  <si>
    <t>TOTAL FLIGHT COST (incl. packaging)</t>
  </si>
  <si>
    <t>FLIGHT PRICING SCENARIOS</t>
  </si>
  <si>
    <t>Scenario</t>
  </si>
  <si>
    <t>Selling Price</t>
  </si>
  <si>
    <t>Cost %</t>
  </si>
  <si>
    <t>Gross Profit</t>
  </si>
  <si>
    <t>Flight @ ₱550</t>
  </si>
  <si>
    <t>Flight @ ₱575</t>
  </si>
  <si>
    <t>Flight @ ₱600</t>
  </si>
  <si>
    <t>INGREDIENT PRICE LIST (Philippine SRP, 2026 — adjust as needed)</t>
  </si>
  <si>
    <t>Ingredient</t>
  </si>
  <si>
    <t>Pack Size</t>
  </si>
  <si>
    <t>Unit</t>
  </si>
  <si>
    <t>Pack Price (₱)</t>
  </si>
  <si>
    <t>Cost per Unit (₱)</t>
  </si>
  <si>
    <t>Source / Note</t>
  </si>
  <si>
    <t>Matcha Powder</t>
  </si>
  <si>
    <t>g</t>
  </si>
  <si>
    <t>Actual: ₱1,600 per 100g</t>
  </si>
  <si>
    <t>Hot Water</t>
  </si>
  <si>
    <t>Negligible — filtered water</t>
  </si>
  <si>
    <t>Oat Milk (Barista)</t>
  </si>
  <si>
    <t>Actual: ₱110/L</t>
  </si>
  <si>
    <t>Whipping Cream</t>
  </si>
  <si>
    <t>Actual: ₱450/L</t>
  </si>
  <si>
    <t>Vita Coco 1L ~₱119–140</t>
  </si>
  <si>
    <t>Coconut Milk</t>
  </si>
  <si>
    <t>Coco Mama Fresh Gata 400ml ~₱65</t>
  </si>
  <si>
    <t>Coconut Cream</t>
  </si>
  <si>
    <t>Coco Mama / similar premium 1st press</t>
  </si>
  <si>
    <t>Dark Brown Sugar</t>
  </si>
  <si>
    <t>Supermarket brown sugar ~₱90–100/kg</t>
  </si>
  <si>
    <t>White Sugar (for syrup)</t>
  </si>
  <si>
    <t>Refined sugar ~₱88–103/kg</t>
  </si>
  <si>
    <t>Actual: ₱239 per 500ml</t>
  </si>
  <si>
    <t>Peach Syrup</t>
  </si>
  <si>
    <t>Torani Peach 750ml ~₱520–590</t>
  </si>
  <si>
    <t>Earl Grey Tea Bag</t>
  </si>
  <si>
    <t>pc</t>
  </si>
  <si>
    <t>Actual: ₱170 per box of 10 bags</t>
  </si>
  <si>
    <t>ml</t>
  </si>
  <si>
    <t>McCormick/local pandan essence ~₱80–120/20ml</t>
  </si>
  <si>
    <t>Actual: ₱15/bunch, ~25 leaves per bunch</t>
  </si>
  <si>
    <t>Actual: ₱389 per 50 pcs</t>
  </si>
  <si>
    <t>4-Cup Carrier</t>
  </si>
  <si>
    <t>Actual: ₱800 per 100 pcs</t>
  </si>
  <si>
    <t>LEGEND:</t>
  </si>
  <si>
    <t>Blue text = editable input (change to update all costings)</t>
  </si>
  <si>
    <t>Black text = formula (do not edit manually)</t>
  </si>
  <si>
    <t>SUB-RECIPE COSTING (cost per gram of finished prep)</t>
  </si>
  <si>
    <t>Amount (g)</t>
  </si>
  <si>
    <t>Total Raw Cost</t>
  </si>
  <si>
    <t>Effective Yield (g)</t>
  </si>
  <si>
    <t>100% yield</t>
  </si>
  <si>
    <t>Cost per gram (finished)</t>
  </si>
  <si>
    <t>Batch in pitcher: 65g Vita Coco base + 20g Vita Coco whisked with 2g matcha, all combined</t>
  </si>
  <si>
    <t>Latik Caramel</t>
  </si>
  <si>
    <t>75% yield</t>
  </si>
  <si>
    <t>Cooks down — yield estimated ~75% of input weight</t>
  </si>
  <si>
    <t>Latik Caramel (sub-recipe)</t>
  </si>
  <si>
    <t>from Sub-Recipes sheet</t>
  </si>
  <si>
    <t>Charged with N2O — volume increases, weight ~constant</t>
  </si>
  <si>
    <t>25% yield</t>
  </si>
  <si>
    <t>Cooks down — yield ~25% of input weight (oil separates)</t>
  </si>
  <si>
    <t>1 pump ≈ 8g — see per-drink sheet</t>
  </si>
  <si>
    <t>90% yield</t>
  </si>
  <si>
    <t>Steeped syrup — yield ~90% after steeping/cooling</t>
  </si>
  <si>
    <t>DAILY PREP QUANTITIES</t>
  </si>
  <si>
    <t>Daily flight target:</t>
  </si>
  <si>
    <t>flights</t>
  </si>
  <si>
    <t>← Edit BLUE cells to change targets; all quantities auto-update</t>
  </si>
  <si>
    <t>Buffer %:</t>
  </si>
  <si>
    <t>(spills, remakes, walk-up extras)</t>
  </si>
  <si>
    <t>Effective batch target:</t>
  </si>
  <si>
    <t>(daily target × (1 + buffer))</t>
  </si>
  <si>
    <t>SECTION 1 — RAW INGREDIENTS (poured directly into drinks)</t>
  </si>
  <si>
    <t>Per Flight</t>
  </si>
  <si>
    <t>Total Needed</t>
  </si>
  <si>
    <t># Packs to Buy</t>
  </si>
  <si>
    <t>500 ml bottles</t>
  </si>
  <si>
    <t>Vita Coco (drinks 1+2+3 direct pour)</t>
  </si>
  <si>
    <t>1000 L cartons</t>
  </si>
  <si>
    <t>20 ml bottles</t>
  </si>
  <si>
    <t>Pandan Leaf</t>
  </si>
  <si>
    <t>25 leaves/bunch</t>
  </si>
  <si>
    <t>50 pcs/sleeve</t>
  </si>
  <si>
    <t>100 pcs/pack</t>
  </si>
  <si>
    <t>SECTION 2 — SUB-RECIPES TO PRE-BATCH (made at commissary)</t>
  </si>
  <si>
    <t>Sub-Recipe</t>
  </si>
  <si>
    <t>Per Flight (finished)</t>
  </si>
  <si>
    <t>Total Finished Needed</t>
  </si>
  <si>
    <t>Storage Container</t>
  </si>
  <si>
    <t># Containers</t>
  </si>
  <si>
    <t>1L squeeze bottles</t>
  </si>
  <si>
    <t>2L pitchers (label: stir before pouring)</t>
  </si>
  <si>
    <t>Matcha Cream (unfrothed base)</t>
  </si>
  <si>
    <t>2L pitchers (label: shake before frothing)</t>
  </si>
  <si>
    <t>Latik Foam (unwhipped base, charge at booth)</t>
  </si>
  <si>
    <t>2L bottles for whip dispenser</t>
  </si>
  <si>
    <t>500ml squeeze bottles</t>
  </si>
  <si>
    <t>Latik Bits (5g pre-portions)</t>
  </si>
  <si>
    <t>5g souffle cups, lidded</t>
  </si>
  <si>
    <t>Hot Matcha 12g bowl portions (drink 1)</t>
  </si>
  <si>
    <t>12g zip bags (1 bag = 6 drinks)</t>
  </si>
  <si>
    <t>Cold Oat Matcha 12g bowl portions (drink 2)</t>
  </si>
  <si>
    <t>SECTION 3 — RAW INPUTS NEEDED FOR SUB-RECIPES (shopping list)</t>
  </si>
  <si>
    <t>Raw Ingredient</t>
  </si>
  <si>
    <t>Used In</t>
  </si>
  <si>
    <t>Per Flight (input)</t>
  </si>
  <si>
    <t>Drinks 1,2,3,4 (whisks + creams + cold brew)</t>
  </si>
  <si>
    <t>Drinks 1,2,3 direct + Coconut Cold Brew Base</t>
  </si>
  <si>
    <t>Hot Water (for matcha whisk)</t>
  </si>
  <si>
    <t>Hot Whisked Matcha (drink 1)</t>
  </si>
  <si>
    <t>Cold Whisked Oat Matcha + Matcha Cream</t>
  </si>
  <si>
    <t>Matcha Cream + Latik Foam</t>
  </si>
  <si>
    <t>Latik Caramel + Latik Foam direct</t>
  </si>
  <si>
    <t>White Sugar</t>
  </si>
  <si>
    <t>Sugar Syrup + Earl Grey Syrup</t>
  </si>
  <si>
    <t>Water (for syrups)</t>
  </si>
  <si>
    <t>SECTION 4 — # OF SUB-RECIPE BATCHES TO COOK (kitchen production list)</t>
  </si>
  <si>
    <t>1 Batch Yields</t>
  </si>
  <si>
    <t>Per Flight Need</t>
  </si>
  <si>
    <t>Total Need</t>
  </si>
  <si>
    <t>Batches to Cook</t>
  </si>
  <si>
    <t>Recipe Notes</t>
  </si>
  <si>
    <t>398.7 g</t>
  </si>
  <si>
    <t>20 g</t>
  </si>
  <si>
    <t>240g water + 200g sugar + 3 tea bags → simmer/steep → cool (90% yield)</t>
  </si>
  <si>
    <t>200 g</t>
  </si>
  <si>
    <t>16 g</t>
  </si>
  <si>
    <t>100g sugar + 100g hot water → dissolve fully → cool</t>
  </si>
  <si>
    <t>225 g</t>
  </si>
  <si>
    <t>30 g</t>
  </si>
  <si>
    <t>200g coconut milk + 100g dark brown sugar → cook until thick (75% yield)</t>
  </si>
  <si>
    <t>Latik Foam (unwhipped)</t>
  </si>
  <si>
    <t>240 g</t>
  </si>
  <si>
    <t>60 g</t>
  </si>
  <si>
    <t>60g whipping cream + 60g coconut milk + 120g latik caramel → charge with N2O at booth</t>
  </si>
  <si>
    <t>Latik Bits</t>
  </si>
  <si>
    <t>50 g</t>
  </si>
  <si>
    <t>5 g</t>
  </si>
  <si>
    <t>200g coconut cream → reduce until oil separates and bits brown (25% yield)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</si>
</sst>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₱#,##0.0000"/>
    <numFmt numFmtId="165" formatCode="\₱#,##0.00"/>
    <numFmt numFmtId="166" formatCode="0.0%"/>
    <numFmt numFmtId="167" formatCode="#,##0.000"/>
  </numFmts>
  <fonts count="21" x14ac:knownFonts="1">
    <font>
      <sz val="11"/>
      <color theme="1"/>
      <name val="Calibri"/>
      <family val="2"/>
      <charset val="1"/>
    </font>
    <font>
      <b/>
      <sz val="16"/>
      <color rgb="FF1E5E2E"/>
      <name val="Calibri"/>
      <charset val="1"/>
    </font>
    <font>
      <b/>
      <sz val="11"/>
      <color rgb="FFFFFFFF"/>
      <name val="Calibri"/>
      <charset val="1"/>
    </font>
    <font>
      <b/>
      <sz val="11"/>
      <color rgb="FF1F2937"/>
      <name val="Calibri"/>
      <charset val="1"/>
    </font>
    <font>
      <sz val="11"/>
      <color rgb="FF1F2937"/>
      <name val="Calibri"/>
      <charset val="1"/>
    </font>
    <font>
      <sz val="11"/>
      <color rgb="FF0070C0"/>
      <name val="Calibri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sz val="9"/>
      <color rgb="FF0000FF"/>
      <name val="Arial"/>
      <charset val="1"/>
    </font>
    <font>
      <sz val="9"/>
      <name val="Arial"/>
      <charset val="1"/>
    </font>
    <font>
      <sz val="10"/>
      <color rgb="FF000000"/>
      <name val="Arial"/>
      <charset val="1"/>
    </font>
    <font>
      <b/>
      <sz val="16"/>
      <color rgb="FF1E5E2E"/>
      <name val="Inter"/>
    </font>
    <font>
      <sz val="11"/>
      <color theme="1"/>
      <name val="Inter"/>
    </font>
    <font>
      <b/>
      <sz val="11"/>
      <color rgb="FF1F2937"/>
      <name val="Inter"/>
    </font>
    <font>
      <sz val="11"/>
      <color rgb="FF0070C0"/>
      <name val="Inter"/>
    </font>
    <font>
      <sz val="11"/>
      <color rgb="FF1F2937"/>
      <name val="Inter"/>
    </font>
    <font>
      <i/>
      <sz val="10"/>
      <color rgb="FF0000FF"/>
      <name val="Inter"/>
    </font>
    <font>
      <i/>
      <sz val="9"/>
      <color rgb="FF595959"/>
      <name val="Inter"/>
    </font>
    <font>
      <b/>
      <sz val="11"/>
      <color rgb="FFFFFFFF"/>
      <name val="Inter"/>
    </font>
    <font>
      <b/>
      <sz val="10"/>
      <name val="Inter"/>
    </font>
    <font>
      <b/>
      <sz val="11"/>
      <color rgb="FF0070C0"/>
      <name val="Inter"/>
    </font>
  </fonts>
  <fills count="8">
    <fill>
      <patternFill patternType="none"/>
    </fill>
    <fill>
      <patternFill patternType="gray125"/>
    </fill>
    <fill>
      <patternFill patternType="solid">
        <fgColor rgb="FF1E5E2E"/>
        <bgColor rgb="FF2E7D32"/>
      </patternFill>
    </fill>
    <fill>
      <patternFill patternType="solid">
        <fgColor rgb="FFE8F0DA"/>
        <bgColor rgb="FFF5EBDE"/>
      </patternFill>
    </fill>
    <fill>
      <patternFill patternType="solid">
        <fgColor rgb="FFFFF8E1"/>
        <bgColor rgb="FFFFFFFF"/>
      </patternFill>
    </fill>
    <fill>
      <patternFill patternType="solid">
        <fgColor rgb="FF2E7D32"/>
        <bgColor rgb="FF1E5E2E"/>
      </patternFill>
    </fill>
    <fill>
      <patternFill patternType="solid">
        <fgColor rgb="FF8B5A2B"/>
        <bgColor rgb="FF595959"/>
      </patternFill>
    </fill>
    <fill>
      <patternFill patternType="solid">
        <fgColor rgb="FFF5EBDE"/>
        <bgColor rgb="FFE8F0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4" fontId="5" fillId="0" borderId="1" xfId="0" applyNumberFormat="1" applyFont="1" applyBorder="1" applyAlignment="1">
      <alignment horizontal="right" vertical="center" indent="1"/>
    </xf>
    <xf numFmtId="164" fontId="6" fillId="0" borderId="1" xfId="0" applyNumberFormat="1" applyFont="1" applyBorder="1" applyAlignment="1">
      <alignment horizontal="right" vertical="center" indent="1"/>
    </xf>
    <xf numFmtId="165" fontId="4" fillId="0" borderId="1" xfId="0" applyNumberFormat="1" applyFont="1" applyBorder="1" applyAlignment="1">
      <alignment horizontal="right" vertical="center" indent="1"/>
    </xf>
    <xf numFmtId="0" fontId="7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0" fillId="0" borderId="1" xfId="0" applyBorder="1"/>
    <xf numFmtId="165" fontId="3" fillId="4" borderId="1" xfId="0" applyNumberFormat="1" applyFont="1" applyFill="1" applyBorder="1" applyAlignment="1">
      <alignment horizontal="right" vertical="center" indent="1"/>
    </xf>
    <xf numFmtId="165" fontId="6" fillId="0" borderId="1" xfId="0" applyNumberFormat="1" applyFont="1" applyBorder="1" applyAlignment="1">
      <alignment horizontal="right" vertical="center" indent="1"/>
    </xf>
    <xf numFmtId="0" fontId="7" fillId="0" borderId="1" xfId="0" applyFont="1" applyBorder="1"/>
    <xf numFmtId="165" fontId="5" fillId="0" borderId="1" xfId="0" applyNumberFormat="1" applyFont="1" applyBorder="1" applyAlignment="1">
      <alignment horizontal="right" vertical="center" indent="1"/>
    </xf>
    <xf numFmtId="166" fontId="4" fillId="0" borderId="1" xfId="0" applyNumberFormat="1" applyFont="1" applyBorder="1" applyAlignment="1">
      <alignment horizontal="right" vertical="center" indent="1"/>
    </xf>
    <xf numFmtId="0" fontId="5" fillId="0" borderId="1" xfId="0" applyFont="1" applyBorder="1" applyAlignment="1">
      <alignment horizontal="right" vertical="center" indent="1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 indent="1"/>
    </xf>
    <xf numFmtId="0" fontId="3" fillId="0" borderId="0" xfId="0" applyFont="1"/>
    <xf numFmtId="0" fontId="8" fillId="0" borderId="0" xfId="0" applyFont="1"/>
    <xf numFmtId="0" fontId="9" fillId="0" borderId="0" xfId="0" applyFont="1"/>
    <xf numFmtId="4" fontId="3" fillId="4" borderId="1" xfId="0" applyNumberFormat="1" applyFont="1" applyFill="1" applyBorder="1" applyAlignment="1">
      <alignment horizontal="right" vertical="center" indent="1"/>
    </xf>
    <xf numFmtId="164" fontId="3" fillId="4" borderId="1" xfId="0" applyNumberFormat="1" applyFont="1" applyFill="1" applyBorder="1" applyAlignment="1">
      <alignment horizontal="right" vertical="center" indent="1"/>
    </xf>
    <xf numFmtId="4" fontId="4" fillId="0" borderId="1" xfId="0" applyNumberFormat="1" applyFont="1" applyBorder="1" applyAlignment="1">
      <alignment horizontal="right" vertical="center" indent="1"/>
    </xf>
    <xf numFmtId="0" fontId="3" fillId="7" borderId="1" xfId="0" applyFont="1" applyFill="1" applyBorder="1" applyAlignment="1">
      <alignment horizontal="left" vertical="center" indent="1"/>
    </xf>
    <xf numFmtId="164" fontId="10" fillId="0" borderId="1" xfId="0" applyNumberFormat="1" applyFont="1" applyBorder="1" applyAlignment="1">
      <alignment horizontal="right" vertical="center" inden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 indent="1"/>
    </xf>
    <xf numFmtId="0" fontId="15" fillId="0" borderId="0" xfId="0" applyFont="1"/>
    <xf numFmtId="0" fontId="16" fillId="0" borderId="0" xfId="0" applyFont="1"/>
    <xf numFmtId="9" fontId="14" fillId="0" borderId="1" xfId="0" applyNumberFormat="1" applyFont="1" applyBorder="1" applyAlignment="1">
      <alignment horizontal="right" vertical="center" indent="1"/>
    </xf>
    <xf numFmtId="0" fontId="17" fillId="0" borderId="0" xfId="0" applyFont="1"/>
    <xf numFmtId="3" fontId="13" fillId="4" borderId="1" xfId="0" applyNumberFormat="1" applyFont="1" applyFill="1" applyBorder="1" applyAlignment="1">
      <alignment horizontal="right" vertical="center" indent="1"/>
    </xf>
    <xf numFmtId="0" fontId="18" fillId="2" borderId="1" xfId="0" applyFont="1" applyFill="1" applyBorder="1"/>
    <xf numFmtId="0" fontId="13" fillId="3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indent="1"/>
    </xf>
    <xf numFmtId="4" fontId="14" fillId="0" borderId="1" xfId="0" applyNumberFormat="1" applyFont="1" applyBorder="1" applyAlignment="1">
      <alignment horizontal="right" vertical="center" indent="1"/>
    </xf>
    <xf numFmtId="0" fontId="14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right" vertical="center" indent="1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indent="1"/>
    </xf>
    <xf numFmtId="167" fontId="14" fillId="0" borderId="1" xfId="0" applyNumberFormat="1" applyFont="1" applyBorder="1" applyAlignment="1">
      <alignment horizontal="right" vertical="center" indent="1"/>
    </xf>
    <xf numFmtId="0" fontId="19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3" fontId="15" fillId="0" borderId="1" xfId="0" applyNumberFormat="1" applyFont="1" applyBorder="1" applyAlignment="1">
      <alignment horizontal="right" vertical="center" indent="1"/>
    </xf>
    <xf numFmtId="3" fontId="20" fillId="0" borderId="1" xfId="0" applyNumberFormat="1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A2B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DA"/>
      <rgbColor rgb="FFF5EB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1E5E2E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zoomScaleNormal="100" workbookViewId="0">
      <selection sqref="A1:E1"/>
    </sheetView>
  </sheetViews>
  <sheetFormatPr defaultColWidth="8.7109375" defaultRowHeight="15" x14ac:dyDescent="0.25"/>
  <cols>
    <col min="1" max="1" width="34" customWidth="1"/>
    <col min="2" max="2" width="14" customWidth="1"/>
    <col min="3" max="4" width="16" customWidth="1"/>
    <col min="5" max="5" width="42" customWidth="1"/>
  </cols>
  <sheetData>
    <row r="1" spans="1:5" ht="21" x14ac:dyDescent="0.35">
      <c r="A1" s="6" t="s">
        <v>0</v>
      </c>
      <c r="B1" s="6"/>
      <c r="C1" s="6"/>
      <c r="D1" s="6"/>
      <c r="E1" s="6"/>
    </row>
    <row r="3" spans="1:5" x14ac:dyDescent="0.25">
      <c r="A3" s="5" t="s">
        <v>1</v>
      </c>
      <c r="B3" s="5"/>
      <c r="C3" s="5"/>
      <c r="D3" s="5"/>
      <c r="E3" s="5"/>
    </row>
    <row r="4" spans="1:5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</row>
    <row r="5" spans="1:5" x14ac:dyDescent="0.25">
      <c r="A5" s="9" t="s">
        <v>7</v>
      </c>
      <c r="B5" s="10">
        <v>20</v>
      </c>
      <c r="C5" s="11">
        <f>'Ingredient Prices'!E13</f>
        <v>0.47799999999999998</v>
      </c>
      <c r="D5" s="12">
        <f>B5*C5</f>
        <v>9.5599999999999987</v>
      </c>
      <c r="E5" s="13" t="s">
        <v>8</v>
      </c>
    </row>
    <row r="6" spans="1:5" x14ac:dyDescent="0.25">
      <c r="A6" s="9" t="s">
        <v>9</v>
      </c>
      <c r="B6" s="10">
        <v>65</v>
      </c>
      <c r="C6" s="11">
        <f>'Ingredient Prices'!E8</f>
        <v>0.13</v>
      </c>
      <c r="D6" s="12">
        <f>B6*C6</f>
        <v>8.4500000000000011</v>
      </c>
      <c r="E6" s="13" t="s">
        <v>8</v>
      </c>
    </row>
    <row r="7" spans="1:5" x14ac:dyDescent="0.25">
      <c r="A7" s="9" t="s">
        <v>10</v>
      </c>
      <c r="B7" s="10">
        <v>22</v>
      </c>
      <c r="C7" s="11">
        <f>'Sub-Recipes'!D9</f>
        <v>1.454590909090909</v>
      </c>
      <c r="D7" s="12">
        <f>B7*C7</f>
        <v>32.000999999999998</v>
      </c>
      <c r="E7" s="13" t="s">
        <v>11</v>
      </c>
    </row>
    <row r="8" spans="1:5" x14ac:dyDescent="0.25">
      <c r="A8" s="9" t="s">
        <v>12</v>
      </c>
      <c r="B8" s="10">
        <v>1</v>
      </c>
      <c r="C8" s="11">
        <f>'Ingredient Prices'!E18</f>
        <v>7.78</v>
      </c>
      <c r="D8" s="12">
        <f>B8*C8</f>
        <v>7.78</v>
      </c>
      <c r="E8" s="13" t="s">
        <v>8</v>
      </c>
    </row>
    <row r="9" spans="1:5" x14ac:dyDescent="0.25">
      <c r="A9" s="14" t="s">
        <v>13</v>
      </c>
      <c r="B9" s="15"/>
      <c r="C9" s="15"/>
      <c r="D9" s="16">
        <f>SUM(D5:D8)</f>
        <v>57.790999999999997</v>
      </c>
      <c r="E9" s="15"/>
    </row>
    <row r="11" spans="1:5" x14ac:dyDescent="0.25">
      <c r="A11" s="5" t="s">
        <v>14</v>
      </c>
      <c r="B11" s="5"/>
      <c r="C11" s="5"/>
      <c r="D11" s="5"/>
      <c r="E11" s="5"/>
    </row>
    <row r="12" spans="1:5" x14ac:dyDescent="0.25">
      <c r="A12" s="8" t="s">
        <v>2</v>
      </c>
      <c r="B12" s="8" t="s">
        <v>3</v>
      </c>
      <c r="C12" s="8" t="s">
        <v>4</v>
      </c>
      <c r="D12" s="8" t="s">
        <v>5</v>
      </c>
      <c r="E12" s="8" t="s">
        <v>6</v>
      </c>
    </row>
    <row r="13" spans="1:5" x14ac:dyDescent="0.25">
      <c r="A13" s="9" t="s">
        <v>15</v>
      </c>
      <c r="B13" s="10">
        <v>20</v>
      </c>
      <c r="C13" s="11">
        <f>'Sub-Recipes'!D75</f>
        <v>0.17309255079006772</v>
      </c>
      <c r="D13" s="12">
        <f>B13*C13</f>
        <v>3.4618510158013542</v>
      </c>
      <c r="E13" s="13" t="s">
        <v>11</v>
      </c>
    </row>
    <row r="14" spans="1:5" x14ac:dyDescent="0.25">
      <c r="A14" s="9" t="s">
        <v>9</v>
      </c>
      <c r="B14" s="10">
        <v>65</v>
      </c>
      <c r="C14" s="11">
        <f>'Ingredient Prices'!E8</f>
        <v>0.13</v>
      </c>
      <c r="D14" s="12">
        <f>B14*C14</f>
        <v>8.4500000000000011</v>
      </c>
      <c r="E14" s="13" t="s">
        <v>8</v>
      </c>
    </row>
    <row r="15" spans="1:5" x14ac:dyDescent="0.25">
      <c r="A15" s="9" t="s">
        <v>16</v>
      </c>
      <c r="B15" s="10">
        <v>22</v>
      </c>
      <c r="C15" s="11">
        <f>'Sub-Recipes'!D17</f>
        <v>1.5545454545454547</v>
      </c>
      <c r="D15" s="12">
        <f>B15*C15</f>
        <v>34.200000000000003</v>
      </c>
      <c r="E15" s="13" t="s">
        <v>11</v>
      </c>
    </row>
    <row r="16" spans="1:5" x14ac:dyDescent="0.25">
      <c r="A16" s="9" t="s">
        <v>12</v>
      </c>
      <c r="B16" s="10">
        <v>1</v>
      </c>
      <c r="C16" s="11">
        <f>'Ingredient Prices'!E18</f>
        <v>7.78</v>
      </c>
      <c r="D16" s="12">
        <f>B16*C16</f>
        <v>7.78</v>
      </c>
      <c r="E16" s="13" t="s">
        <v>8</v>
      </c>
    </row>
    <row r="17" spans="1:5" x14ac:dyDescent="0.25">
      <c r="A17" s="14" t="s">
        <v>13</v>
      </c>
      <c r="B17" s="15"/>
      <c r="C17" s="15"/>
      <c r="D17" s="16">
        <f>SUM(D13:D16)</f>
        <v>53.891851015801358</v>
      </c>
      <c r="E17" s="15"/>
    </row>
    <row r="19" spans="1:5" x14ac:dyDescent="0.25">
      <c r="A19" s="5" t="s">
        <v>17</v>
      </c>
      <c r="B19" s="5"/>
      <c r="C19" s="5"/>
      <c r="D19" s="5"/>
      <c r="E19" s="5"/>
    </row>
    <row r="20" spans="1:5" x14ac:dyDescent="0.25">
      <c r="A20" s="8" t="s">
        <v>2</v>
      </c>
      <c r="B20" s="8" t="s">
        <v>3</v>
      </c>
      <c r="C20" s="8" t="s">
        <v>4</v>
      </c>
      <c r="D20" s="8" t="s">
        <v>5</v>
      </c>
      <c r="E20" s="8" t="s">
        <v>6</v>
      </c>
    </row>
    <row r="21" spans="1:5" x14ac:dyDescent="0.25">
      <c r="A21" s="9" t="s">
        <v>9</v>
      </c>
      <c r="B21" s="10">
        <v>65</v>
      </c>
      <c r="C21" s="11">
        <f>'Ingredient Prices'!E8</f>
        <v>0.13</v>
      </c>
      <c r="D21" s="12">
        <f t="shared" ref="D21:D26" si="0">B21*C21</f>
        <v>8.4500000000000011</v>
      </c>
      <c r="E21" s="13" t="s">
        <v>8</v>
      </c>
    </row>
    <row r="22" spans="1:5" x14ac:dyDescent="0.25">
      <c r="A22" s="9" t="s">
        <v>18</v>
      </c>
      <c r="B22" s="10">
        <v>8</v>
      </c>
      <c r="C22" s="11">
        <f>'Sub-Recipes'!D66</f>
        <v>4.5025000000000003E-2</v>
      </c>
      <c r="D22" s="12">
        <f t="shared" si="0"/>
        <v>0.36020000000000002</v>
      </c>
      <c r="E22" s="13" t="s">
        <v>11</v>
      </c>
    </row>
    <row r="23" spans="1:5" x14ac:dyDescent="0.25">
      <c r="A23" s="9" t="s">
        <v>19</v>
      </c>
      <c r="B23" s="10">
        <v>0.1</v>
      </c>
      <c r="C23" s="11">
        <f>'Ingredient Prices'!E16</f>
        <v>5</v>
      </c>
      <c r="D23" s="12">
        <f t="shared" si="0"/>
        <v>0.5</v>
      </c>
      <c r="E23" s="13" t="s">
        <v>8</v>
      </c>
    </row>
    <row r="24" spans="1:5" x14ac:dyDescent="0.25">
      <c r="A24" s="9" t="s">
        <v>20</v>
      </c>
      <c r="B24" s="10">
        <v>1</v>
      </c>
      <c r="C24" s="11">
        <f>'Ingredient Prices'!E17</f>
        <v>0.6</v>
      </c>
      <c r="D24" s="12">
        <f t="shared" si="0"/>
        <v>0.6</v>
      </c>
      <c r="E24" s="13" t="s">
        <v>8</v>
      </c>
    </row>
    <row r="25" spans="1:5" x14ac:dyDescent="0.25">
      <c r="A25" s="9" t="s">
        <v>21</v>
      </c>
      <c r="B25" s="10">
        <v>27</v>
      </c>
      <c r="C25" s="11">
        <f>'Sub-Recipes'!D26</f>
        <v>1.5388888888888888</v>
      </c>
      <c r="D25" s="12">
        <f t="shared" si="0"/>
        <v>41.55</v>
      </c>
      <c r="E25" s="13" t="s">
        <v>11</v>
      </c>
    </row>
    <row r="26" spans="1:5" x14ac:dyDescent="0.25">
      <c r="A26" s="9" t="s">
        <v>12</v>
      </c>
      <c r="B26" s="10">
        <v>1</v>
      </c>
      <c r="C26" s="11">
        <f>'Ingredient Prices'!E18</f>
        <v>7.78</v>
      </c>
      <c r="D26" s="12">
        <f t="shared" si="0"/>
        <v>7.78</v>
      </c>
      <c r="E26" s="13" t="s">
        <v>8</v>
      </c>
    </row>
    <row r="27" spans="1:5" x14ac:dyDescent="0.25">
      <c r="A27" s="14" t="s">
        <v>13</v>
      </c>
      <c r="B27" s="15"/>
      <c r="C27" s="15"/>
      <c r="D27" s="16">
        <f>SUM(D21:D26)</f>
        <v>59.240200000000002</v>
      </c>
      <c r="E27" s="15"/>
    </row>
    <row r="29" spans="1:5" x14ac:dyDescent="0.25">
      <c r="A29" s="5" t="s">
        <v>22</v>
      </c>
      <c r="B29" s="5"/>
      <c r="C29" s="5"/>
      <c r="D29" s="5"/>
      <c r="E29" s="5"/>
    </row>
    <row r="30" spans="1:5" x14ac:dyDescent="0.25">
      <c r="A30" s="8" t="s">
        <v>2</v>
      </c>
      <c r="B30" s="8" t="s">
        <v>3</v>
      </c>
      <c r="C30" s="8" t="s">
        <v>4</v>
      </c>
      <c r="D30" s="8" t="s">
        <v>5</v>
      </c>
      <c r="E30" s="8" t="s">
        <v>6</v>
      </c>
    </row>
    <row r="31" spans="1:5" x14ac:dyDescent="0.25">
      <c r="A31" s="9" t="s">
        <v>23</v>
      </c>
      <c r="B31" s="10">
        <v>87</v>
      </c>
      <c r="C31" s="11">
        <f>'Sub-Recipes'!D34</f>
        <v>0.49482758620689654</v>
      </c>
      <c r="D31" s="12">
        <f>B31*C31</f>
        <v>43.05</v>
      </c>
      <c r="E31" s="13" t="s">
        <v>11</v>
      </c>
    </row>
    <row r="32" spans="1:5" x14ac:dyDescent="0.25">
      <c r="A32" s="9" t="s">
        <v>18</v>
      </c>
      <c r="B32" s="10">
        <v>8</v>
      </c>
      <c r="C32" s="11">
        <f>'Sub-Recipes'!D66</f>
        <v>4.5025000000000003E-2</v>
      </c>
      <c r="D32" s="12">
        <f>B32*C32</f>
        <v>0.36020000000000002</v>
      </c>
      <c r="E32" s="13" t="s">
        <v>11</v>
      </c>
    </row>
    <row r="33" spans="1:5" x14ac:dyDescent="0.25">
      <c r="A33" s="9" t="s">
        <v>24</v>
      </c>
      <c r="B33" s="10">
        <v>60</v>
      </c>
      <c r="C33" s="11">
        <f>'Sub-Recipes'!D51</f>
        <v>0.24645833333333336</v>
      </c>
      <c r="D33" s="12">
        <f>B33*C33</f>
        <v>14.787500000000001</v>
      </c>
      <c r="E33" s="13" t="s">
        <v>11</v>
      </c>
    </row>
    <row r="34" spans="1:5" x14ac:dyDescent="0.25">
      <c r="A34" s="9" t="s">
        <v>25</v>
      </c>
      <c r="B34" s="10">
        <v>5</v>
      </c>
      <c r="C34" s="11">
        <f>'Sub-Recipes'!D58</f>
        <v>0.7</v>
      </c>
      <c r="D34" s="12">
        <f>B34*C34</f>
        <v>3.5</v>
      </c>
      <c r="E34" s="13" t="s">
        <v>11</v>
      </c>
    </row>
    <row r="35" spans="1:5" x14ac:dyDescent="0.25">
      <c r="A35" s="9" t="s">
        <v>12</v>
      </c>
      <c r="B35" s="10">
        <v>1</v>
      </c>
      <c r="C35" s="11">
        <f>'Ingredient Prices'!E18</f>
        <v>7.78</v>
      </c>
      <c r="D35" s="12">
        <f>B35*C35</f>
        <v>7.78</v>
      </c>
      <c r="E35" s="13" t="s">
        <v>8</v>
      </c>
    </row>
    <row r="36" spans="1:5" x14ac:dyDescent="0.25">
      <c r="A36" s="14" t="s">
        <v>13</v>
      </c>
      <c r="B36" s="15"/>
      <c r="C36" s="15"/>
      <c r="D36" s="16">
        <f>SUM(D31:D35)</f>
        <v>69.477699999999999</v>
      </c>
      <c r="E36" s="15"/>
    </row>
    <row r="39" spans="1:5" x14ac:dyDescent="0.25">
      <c r="A39" s="4" t="s">
        <v>26</v>
      </c>
      <c r="B39" s="4"/>
      <c r="C39" s="4"/>
      <c r="D39" s="4"/>
      <c r="E39" s="4"/>
    </row>
    <row r="40" spans="1:5" x14ac:dyDescent="0.25">
      <c r="A40" s="8" t="s">
        <v>27</v>
      </c>
      <c r="B40" s="8" t="s">
        <v>28</v>
      </c>
      <c r="C40" s="8"/>
      <c r="D40" s="8"/>
      <c r="E40" s="8" t="s">
        <v>6</v>
      </c>
    </row>
    <row r="41" spans="1:5" x14ac:dyDescent="0.25">
      <c r="A41" s="9" t="s">
        <v>1</v>
      </c>
      <c r="B41" s="12">
        <f>D9</f>
        <v>57.790999999999997</v>
      </c>
      <c r="C41" s="15"/>
      <c r="D41" s="15"/>
      <c r="E41" s="15"/>
    </row>
    <row r="42" spans="1:5" x14ac:dyDescent="0.25">
      <c r="A42" s="9" t="s">
        <v>14</v>
      </c>
      <c r="B42" s="12">
        <f>D17</f>
        <v>53.891851015801358</v>
      </c>
      <c r="C42" s="15"/>
      <c r="D42" s="15"/>
      <c r="E42" s="15"/>
    </row>
    <row r="43" spans="1:5" x14ac:dyDescent="0.25">
      <c r="A43" s="9" t="s">
        <v>17</v>
      </c>
      <c r="B43" s="12">
        <f>D27</f>
        <v>59.240200000000002</v>
      </c>
      <c r="C43" s="15"/>
      <c r="D43" s="15"/>
      <c r="E43" s="15"/>
    </row>
    <row r="44" spans="1:5" x14ac:dyDescent="0.25">
      <c r="A44" s="9" t="s">
        <v>22</v>
      </c>
      <c r="B44" s="12">
        <f>D36</f>
        <v>69.477699999999999</v>
      </c>
      <c r="C44" s="15"/>
      <c r="D44" s="15"/>
      <c r="E44" s="15"/>
    </row>
    <row r="45" spans="1:5" x14ac:dyDescent="0.25">
      <c r="A45" s="9" t="s">
        <v>29</v>
      </c>
      <c r="B45" s="17">
        <f>'Ingredient Prices'!E19</f>
        <v>8</v>
      </c>
      <c r="C45" s="15"/>
      <c r="D45" s="15"/>
      <c r="E45" s="18" t="s">
        <v>30</v>
      </c>
    </row>
    <row r="46" spans="1:5" x14ac:dyDescent="0.25">
      <c r="A46" s="14" t="s">
        <v>31</v>
      </c>
      <c r="B46" s="16">
        <f>SUM(B41:B44)+B45</f>
        <v>248.40075101580138</v>
      </c>
      <c r="C46" s="15"/>
      <c r="D46" s="15"/>
      <c r="E46" s="15"/>
    </row>
    <row r="48" spans="1:5" x14ac:dyDescent="0.25">
      <c r="A48" s="3" t="s">
        <v>32</v>
      </c>
      <c r="B48" s="3"/>
      <c r="C48" s="3"/>
      <c r="D48" s="3"/>
      <c r="E48" s="3"/>
    </row>
    <row r="49" spans="1:5" x14ac:dyDescent="0.25">
      <c r="A49" s="8" t="s">
        <v>33</v>
      </c>
      <c r="B49" s="8" t="s">
        <v>34</v>
      </c>
      <c r="C49" s="8" t="s">
        <v>28</v>
      </c>
      <c r="D49" s="8" t="s">
        <v>35</v>
      </c>
      <c r="E49" s="8" t="s">
        <v>36</v>
      </c>
    </row>
    <row r="50" spans="1:5" x14ac:dyDescent="0.25">
      <c r="A50" s="9" t="s">
        <v>37</v>
      </c>
      <c r="B50" s="19">
        <v>550</v>
      </c>
      <c r="C50" s="12">
        <f>B46</f>
        <v>248.40075101580138</v>
      </c>
      <c r="D50" s="20">
        <f>C50/B50</f>
        <v>0.45163772911963884</v>
      </c>
      <c r="E50" s="16">
        <f>B50-C50</f>
        <v>301.59924898419865</v>
      </c>
    </row>
    <row r="51" spans="1:5" x14ac:dyDescent="0.25">
      <c r="A51" s="9" t="s">
        <v>38</v>
      </c>
      <c r="B51" s="19">
        <v>575</v>
      </c>
      <c r="C51" s="12">
        <f>B46</f>
        <v>248.40075101580138</v>
      </c>
      <c r="D51" s="20">
        <f>C51/B51</f>
        <v>0.43200130611443716</v>
      </c>
      <c r="E51" s="16">
        <f>B51-C51</f>
        <v>326.59924898419865</v>
      </c>
    </row>
    <row r="52" spans="1:5" x14ac:dyDescent="0.25">
      <c r="A52" s="9" t="s">
        <v>39</v>
      </c>
      <c r="B52" s="19">
        <v>600</v>
      </c>
      <c r="C52" s="12">
        <f>B46</f>
        <v>248.40075101580138</v>
      </c>
      <c r="D52" s="20">
        <f>C52/B52</f>
        <v>0.41400125169300228</v>
      </c>
      <c r="E52" s="16">
        <f>B52-C52</f>
        <v>351.59924898419865</v>
      </c>
    </row>
  </sheetData>
  <mergeCells count="7">
    <mergeCell ref="A39:E39"/>
    <mergeCell ref="A48:E48"/>
    <mergeCell ref="A1:E1"/>
    <mergeCell ref="A3:E3"/>
    <mergeCell ref="A11:E11"/>
    <mergeCell ref="A19:E19"/>
    <mergeCell ref="A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12" customWidth="1"/>
    <col min="3" max="3" width="8" customWidth="1"/>
    <col min="4" max="4" width="16" customWidth="1"/>
    <col min="5" max="5" width="18" customWidth="1"/>
    <col min="6" max="6" width="60" customWidth="1"/>
  </cols>
  <sheetData>
    <row r="1" spans="1:6" ht="21" x14ac:dyDescent="0.35">
      <c r="A1" s="6" t="s">
        <v>40</v>
      </c>
      <c r="B1" s="6"/>
      <c r="C1" s="6"/>
      <c r="D1" s="6"/>
      <c r="E1" s="6"/>
      <c r="F1" s="6"/>
    </row>
    <row r="3" spans="1:6" x14ac:dyDescent="0.25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</row>
    <row r="4" spans="1:6" x14ac:dyDescent="0.25">
      <c r="A4" s="9" t="s">
        <v>47</v>
      </c>
      <c r="B4" s="21">
        <v>100</v>
      </c>
      <c r="C4" s="22" t="s">
        <v>48</v>
      </c>
      <c r="D4" s="19">
        <v>1600</v>
      </c>
      <c r="E4" s="23">
        <f t="shared" ref="E4:E19" si="0">D4/B4</f>
        <v>16</v>
      </c>
      <c r="F4" s="13" t="s">
        <v>49</v>
      </c>
    </row>
    <row r="5" spans="1:6" x14ac:dyDescent="0.25">
      <c r="A5" s="9" t="s">
        <v>50</v>
      </c>
      <c r="B5" s="21">
        <v>1000</v>
      </c>
      <c r="C5" s="22" t="s">
        <v>48</v>
      </c>
      <c r="D5" s="19">
        <v>0.05</v>
      </c>
      <c r="E5" s="23">
        <f t="shared" si="0"/>
        <v>5.0000000000000002E-5</v>
      </c>
      <c r="F5" s="13" t="s">
        <v>51</v>
      </c>
    </row>
    <row r="6" spans="1:6" x14ac:dyDescent="0.25">
      <c r="A6" s="9" t="s">
        <v>52</v>
      </c>
      <c r="B6" s="21">
        <v>1000</v>
      </c>
      <c r="C6" s="22" t="s">
        <v>48</v>
      </c>
      <c r="D6" s="19">
        <v>110</v>
      </c>
      <c r="E6" s="23">
        <f t="shared" si="0"/>
        <v>0.11</v>
      </c>
      <c r="F6" s="13" t="s">
        <v>53</v>
      </c>
    </row>
    <row r="7" spans="1:6" x14ac:dyDescent="0.25">
      <c r="A7" s="9" t="s">
        <v>54</v>
      </c>
      <c r="B7" s="21">
        <v>1000</v>
      </c>
      <c r="C7" s="22" t="s">
        <v>48</v>
      </c>
      <c r="D7" s="19">
        <v>450</v>
      </c>
      <c r="E7" s="23">
        <f t="shared" si="0"/>
        <v>0.45</v>
      </c>
      <c r="F7" s="13" t="s">
        <v>55</v>
      </c>
    </row>
    <row r="8" spans="1:6" x14ac:dyDescent="0.25">
      <c r="A8" s="9" t="s">
        <v>9</v>
      </c>
      <c r="B8" s="21">
        <v>1000</v>
      </c>
      <c r="C8" s="22" t="s">
        <v>48</v>
      </c>
      <c r="D8" s="19">
        <v>130</v>
      </c>
      <c r="E8" s="23">
        <f t="shared" si="0"/>
        <v>0.13</v>
      </c>
      <c r="F8" s="13" t="s">
        <v>56</v>
      </c>
    </row>
    <row r="9" spans="1:6" x14ac:dyDescent="0.25">
      <c r="A9" s="9" t="s">
        <v>57</v>
      </c>
      <c r="B9" s="21">
        <v>400</v>
      </c>
      <c r="C9" s="22" t="s">
        <v>48</v>
      </c>
      <c r="D9" s="19">
        <v>65</v>
      </c>
      <c r="E9" s="23">
        <f t="shared" si="0"/>
        <v>0.16250000000000001</v>
      </c>
      <c r="F9" s="13" t="s">
        <v>58</v>
      </c>
    </row>
    <row r="10" spans="1:6" x14ac:dyDescent="0.25">
      <c r="A10" s="9" t="s">
        <v>59</v>
      </c>
      <c r="B10" s="21">
        <v>400</v>
      </c>
      <c r="C10" s="22" t="s">
        <v>48</v>
      </c>
      <c r="D10" s="19">
        <v>70</v>
      </c>
      <c r="E10" s="23">
        <f t="shared" si="0"/>
        <v>0.17499999999999999</v>
      </c>
      <c r="F10" s="13" t="s">
        <v>60</v>
      </c>
    </row>
    <row r="11" spans="1:6" x14ac:dyDescent="0.25">
      <c r="A11" s="9" t="s">
        <v>61</v>
      </c>
      <c r="B11" s="21">
        <v>1000</v>
      </c>
      <c r="C11" s="22" t="s">
        <v>48</v>
      </c>
      <c r="D11" s="19">
        <v>95</v>
      </c>
      <c r="E11" s="23">
        <f t="shared" si="0"/>
        <v>9.5000000000000001E-2</v>
      </c>
      <c r="F11" s="13" t="s">
        <v>62</v>
      </c>
    </row>
    <row r="12" spans="1:6" x14ac:dyDescent="0.25">
      <c r="A12" s="9" t="s">
        <v>63</v>
      </c>
      <c r="B12" s="21">
        <v>1000</v>
      </c>
      <c r="C12" s="22" t="s">
        <v>48</v>
      </c>
      <c r="D12" s="19">
        <v>90</v>
      </c>
      <c r="E12" s="23">
        <f t="shared" si="0"/>
        <v>0.09</v>
      </c>
      <c r="F12" s="13" t="s">
        <v>64</v>
      </c>
    </row>
    <row r="13" spans="1:6" x14ac:dyDescent="0.25">
      <c r="A13" s="9" t="s">
        <v>7</v>
      </c>
      <c r="B13" s="21">
        <v>500</v>
      </c>
      <c r="C13" s="22" t="s">
        <v>48</v>
      </c>
      <c r="D13" s="19">
        <v>239</v>
      </c>
      <c r="E13" s="23">
        <f t="shared" si="0"/>
        <v>0.47799999999999998</v>
      </c>
      <c r="F13" s="13" t="s">
        <v>65</v>
      </c>
    </row>
    <row r="14" spans="1:6" x14ac:dyDescent="0.25">
      <c r="A14" s="9" t="s">
        <v>66</v>
      </c>
      <c r="B14" s="21">
        <v>750</v>
      </c>
      <c r="C14" s="22" t="s">
        <v>48</v>
      </c>
      <c r="D14" s="19">
        <v>550</v>
      </c>
      <c r="E14" s="23">
        <f t="shared" si="0"/>
        <v>0.73333333333333328</v>
      </c>
      <c r="F14" s="13" t="s">
        <v>67</v>
      </c>
    </row>
    <row r="15" spans="1:6" x14ac:dyDescent="0.25">
      <c r="A15" s="9" t="s">
        <v>68</v>
      </c>
      <c r="B15" s="21">
        <v>10</v>
      </c>
      <c r="C15" s="22" t="s">
        <v>69</v>
      </c>
      <c r="D15" s="19">
        <v>170</v>
      </c>
      <c r="E15" s="23">
        <f t="shared" si="0"/>
        <v>17</v>
      </c>
      <c r="F15" s="13" t="s">
        <v>70</v>
      </c>
    </row>
    <row r="16" spans="1:6" x14ac:dyDescent="0.25">
      <c r="A16" s="9" t="s">
        <v>19</v>
      </c>
      <c r="B16" s="21">
        <v>20</v>
      </c>
      <c r="C16" s="22" t="s">
        <v>71</v>
      </c>
      <c r="D16" s="19">
        <v>100</v>
      </c>
      <c r="E16" s="23">
        <f t="shared" si="0"/>
        <v>5</v>
      </c>
      <c r="F16" s="13" t="s">
        <v>72</v>
      </c>
    </row>
    <row r="17" spans="1:6" x14ac:dyDescent="0.25">
      <c r="A17" s="9" t="s">
        <v>20</v>
      </c>
      <c r="B17" s="21">
        <v>25</v>
      </c>
      <c r="C17" s="22" t="s">
        <v>69</v>
      </c>
      <c r="D17" s="19">
        <v>15</v>
      </c>
      <c r="E17" s="23">
        <f t="shared" si="0"/>
        <v>0.6</v>
      </c>
      <c r="F17" s="13" t="s">
        <v>73</v>
      </c>
    </row>
    <row r="18" spans="1:6" x14ac:dyDescent="0.25">
      <c r="A18" s="9" t="s">
        <v>12</v>
      </c>
      <c r="B18" s="21">
        <v>50</v>
      </c>
      <c r="C18" s="22" t="s">
        <v>69</v>
      </c>
      <c r="D18" s="19">
        <v>389</v>
      </c>
      <c r="E18" s="23">
        <f t="shared" si="0"/>
        <v>7.78</v>
      </c>
      <c r="F18" s="13" t="s">
        <v>74</v>
      </c>
    </row>
    <row r="19" spans="1:6" x14ac:dyDescent="0.25">
      <c r="A19" s="9" t="s">
        <v>75</v>
      </c>
      <c r="B19" s="21">
        <v>100</v>
      </c>
      <c r="C19" s="22" t="s">
        <v>69</v>
      </c>
      <c r="D19" s="19">
        <v>800</v>
      </c>
      <c r="E19" s="23">
        <f t="shared" si="0"/>
        <v>8</v>
      </c>
      <c r="F19" s="13" t="s">
        <v>76</v>
      </c>
    </row>
    <row r="22" spans="1:6" x14ac:dyDescent="0.25">
      <c r="A22" s="24" t="s">
        <v>77</v>
      </c>
    </row>
    <row r="23" spans="1:6" x14ac:dyDescent="0.25">
      <c r="A23" s="25" t="s">
        <v>78</v>
      </c>
    </row>
    <row r="24" spans="1:6" x14ac:dyDescent="0.25">
      <c r="A24" s="26" t="s">
        <v>79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5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4" customWidth="1"/>
    <col min="3" max="4" width="16" customWidth="1"/>
    <col min="5" max="5" width="45" customWidth="1"/>
  </cols>
  <sheetData>
    <row r="1" spans="1:5" ht="21" x14ac:dyDescent="0.35">
      <c r="A1" s="6" t="s">
        <v>80</v>
      </c>
      <c r="B1" s="6"/>
      <c r="C1" s="6"/>
      <c r="D1" s="6"/>
      <c r="E1" s="6"/>
    </row>
    <row r="3" spans="1:5" x14ac:dyDescent="0.25">
      <c r="A3" s="2" t="s">
        <v>10</v>
      </c>
      <c r="B3" s="2"/>
      <c r="C3" s="2"/>
      <c r="D3" s="2"/>
      <c r="E3" s="2"/>
    </row>
    <row r="4" spans="1:5" x14ac:dyDescent="0.25">
      <c r="A4" s="8" t="s">
        <v>41</v>
      </c>
      <c r="B4" s="8" t="s">
        <v>81</v>
      </c>
      <c r="C4" s="8" t="s">
        <v>4</v>
      </c>
      <c r="D4" s="8" t="s">
        <v>5</v>
      </c>
      <c r="E4" s="8" t="s">
        <v>6</v>
      </c>
    </row>
    <row r="5" spans="1:5" x14ac:dyDescent="0.25">
      <c r="A5" s="9" t="s">
        <v>47</v>
      </c>
      <c r="B5" s="10">
        <v>2</v>
      </c>
      <c r="C5" s="11">
        <f>'Ingredient Prices'!E4</f>
        <v>16</v>
      </c>
      <c r="D5" s="23">
        <f>B5*C5</f>
        <v>32</v>
      </c>
      <c r="E5" s="15"/>
    </row>
    <row r="6" spans="1:5" x14ac:dyDescent="0.25">
      <c r="A6" s="9" t="s">
        <v>50</v>
      </c>
      <c r="B6" s="10">
        <v>20</v>
      </c>
      <c r="C6" s="11">
        <f>'Ingredient Prices'!E5</f>
        <v>5.0000000000000002E-5</v>
      </c>
      <c r="D6" s="23">
        <f>B6*C6</f>
        <v>1E-3</v>
      </c>
      <c r="E6" s="15"/>
    </row>
    <row r="7" spans="1:5" x14ac:dyDescent="0.25">
      <c r="A7" s="14" t="s">
        <v>82</v>
      </c>
      <c r="B7" s="27">
        <f>SUM(B5:B6)</f>
        <v>22</v>
      </c>
      <c r="C7" s="15"/>
      <c r="D7" s="28">
        <f>SUM(D5:D6)</f>
        <v>32.000999999999998</v>
      </c>
      <c r="E7" s="15"/>
    </row>
    <row r="8" spans="1:5" x14ac:dyDescent="0.25">
      <c r="A8" s="9" t="s">
        <v>83</v>
      </c>
      <c r="B8" s="29">
        <f>B7*1</f>
        <v>22</v>
      </c>
      <c r="C8" s="18" t="s">
        <v>84</v>
      </c>
      <c r="D8" s="15"/>
      <c r="E8" s="18"/>
    </row>
    <row r="9" spans="1:5" x14ac:dyDescent="0.25">
      <c r="A9" s="14" t="s">
        <v>85</v>
      </c>
      <c r="B9" s="15"/>
      <c r="C9" s="15"/>
      <c r="D9" s="28">
        <f>D7/B8</f>
        <v>1.454590909090909</v>
      </c>
      <c r="E9" s="15"/>
    </row>
    <row r="11" spans="1:5" x14ac:dyDescent="0.25">
      <c r="A11" s="2" t="s">
        <v>16</v>
      </c>
      <c r="B11" s="2"/>
      <c r="C11" s="2"/>
      <c r="D11" s="2"/>
      <c r="E11" s="2"/>
    </row>
    <row r="12" spans="1:5" x14ac:dyDescent="0.25">
      <c r="A12" s="8" t="s">
        <v>41</v>
      </c>
      <c r="B12" s="8" t="s">
        <v>81</v>
      </c>
      <c r="C12" s="8" t="s">
        <v>4</v>
      </c>
      <c r="D12" s="8" t="s">
        <v>5</v>
      </c>
      <c r="E12" s="8" t="s">
        <v>6</v>
      </c>
    </row>
    <row r="13" spans="1:5" x14ac:dyDescent="0.25">
      <c r="A13" s="9" t="s">
        <v>47</v>
      </c>
      <c r="B13" s="10">
        <v>2</v>
      </c>
      <c r="C13" s="11">
        <f>'Ingredient Prices'!E4</f>
        <v>16</v>
      </c>
      <c r="D13" s="23">
        <f>B13*C13</f>
        <v>32</v>
      </c>
      <c r="E13" s="15"/>
    </row>
    <row r="14" spans="1:5" x14ac:dyDescent="0.25">
      <c r="A14" s="9" t="s">
        <v>52</v>
      </c>
      <c r="B14" s="10">
        <v>20</v>
      </c>
      <c r="C14" s="11">
        <f>'Ingredient Prices'!E6</f>
        <v>0.11</v>
      </c>
      <c r="D14" s="23">
        <f>B14*C14</f>
        <v>2.2000000000000002</v>
      </c>
      <c r="E14" s="15"/>
    </row>
    <row r="15" spans="1:5" x14ac:dyDescent="0.25">
      <c r="A15" s="14" t="s">
        <v>82</v>
      </c>
      <c r="B15" s="27">
        <f>SUM(B13:B14)</f>
        <v>22</v>
      </c>
      <c r="C15" s="15"/>
      <c r="D15" s="28">
        <f>SUM(D13:D14)</f>
        <v>34.200000000000003</v>
      </c>
      <c r="E15" s="15"/>
    </row>
    <row r="16" spans="1:5" x14ac:dyDescent="0.25">
      <c r="A16" s="9" t="s">
        <v>83</v>
      </c>
      <c r="B16" s="29">
        <f>B15*1</f>
        <v>22</v>
      </c>
      <c r="C16" s="18" t="s">
        <v>84</v>
      </c>
      <c r="D16" s="15"/>
      <c r="E16" s="18"/>
    </row>
    <row r="17" spans="1:5" x14ac:dyDescent="0.25">
      <c r="A17" s="14" t="s">
        <v>85</v>
      </c>
      <c r="B17" s="15"/>
      <c r="C17" s="15"/>
      <c r="D17" s="28">
        <f>D15/B16</f>
        <v>1.5545454545454547</v>
      </c>
      <c r="E17" s="15"/>
    </row>
    <row r="19" spans="1:5" x14ac:dyDescent="0.25">
      <c r="A19" s="2" t="s">
        <v>21</v>
      </c>
      <c r="B19" s="2"/>
      <c r="C19" s="2"/>
      <c r="D19" s="2"/>
      <c r="E19" s="2"/>
    </row>
    <row r="20" spans="1:5" x14ac:dyDescent="0.25">
      <c r="A20" s="8" t="s">
        <v>41</v>
      </c>
      <c r="B20" s="8" t="s">
        <v>81</v>
      </c>
      <c r="C20" s="8" t="s">
        <v>4</v>
      </c>
      <c r="D20" s="8" t="s">
        <v>5</v>
      </c>
      <c r="E20" s="8" t="s">
        <v>6</v>
      </c>
    </row>
    <row r="21" spans="1:5" x14ac:dyDescent="0.25">
      <c r="A21" s="9" t="s">
        <v>47</v>
      </c>
      <c r="B21" s="10">
        <v>2</v>
      </c>
      <c r="C21" s="11">
        <f>'Ingredient Prices'!E4</f>
        <v>16</v>
      </c>
      <c r="D21" s="23">
        <f>B21*C21</f>
        <v>32</v>
      </c>
      <c r="E21" s="15"/>
    </row>
    <row r="22" spans="1:5" x14ac:dyDescent="0.25">
      <c r="A22" s="9" t="s">
        <v>54</v>
      </c>
      <c r="B22" s="10">
        <v>20</v>
      </c>
      <c r="C22" s="11">
        <f>'Ingredient Prices'!E7</f>
        <v>0.45</v>
      </c>
      <c r="D22" s="23">
        <f>B22*C22</f>
        <v>9</v>
      </c>
      <c r="E22" s="15"/>
    </row>
    <row r="23" spans="1:5" x14ac:dyDescent="0.25">
      <c r="A23" s="9" t="s">
        <v>52</v>
      </c>
      <c r="B23" s="10">
        <v>5</v>
      </c>
      <c r="C23" s="11">
        <f>'Ingredient Prices'!E6</f>
        <v>0.11</v>
      </c>
      <c r="D23" s="23">
        <f>B23*C23</f>
        <v>0.55000000000000004</v>
      </c>
      <c r="E23" s="15"/>
    </row>
    <row r="24" spans="1:5" x14ac:dyDescent="0.25">
      <c r="A24" s="14" t="s">
        <v>82</v>
      </c>
      <c r="B24" s="27">
        <f>SUM(B21:B23)</f>
        <v>27</v>
      </c>
      <c r="C24" s="15"/>
      <c r="D24" s="28">
        <f>SUM(D21:D23)</f>
        <v>41.55</v>
      </c>
      <c r="E24" s="15"/>
    </row>
    <row r="25" spans="1:5" x14ac:dyDescent="0.25">
      <c r="A25" s="9" t="s">
        <v>83</v>
      </c>
      <c r="B25" s="29">
        <f>B24*1</f>
        <v>27</v>
      </c>
      <c r="C25" s="18" t="s">
        <v>84</v>
      </c>
      <c r="D25" s="15"/>
      <c r="E25" s="18"/>
    </row>
    <row r="26" spans="1:5" x14ac:dyDescent="0.25">
      <c r="A26" s="14" t="s">
        <v>85</v>
      </c>
      <c r="B26" s="15"/>
      <c r="C26" s="15"/>
      <c r="D26" s="28">
        <f>D24/B25</f>
        <v>1.5388888888888888</v>
      </c>
      <c r="E26" s="15"/>
    </row>
    <row r="28" spans="1:5" x14ac:dyDescent="0.25">
      <c r="A28" s="2" t="s">
        <v>23</v>
      </c>
      <c r="B28" s="2"/>
      <c r="C28" s="2"/>
      <c r="D28" s="2"/>
      <c r="E28" s="2"/>
    </row>
    <row r="29" spans="1:5" x14ac:dyDescent="0.25">
      <c r="A29" s="8" t="s">
        <v>41</v>
      </c>
      <c r="B29" s="8" t="s">
        <v>81</v>
      </c>
      <c r="C29" s="8" t="s">
        <v>4</v>
      </c>
      <c r="D29" s="8" t="s">
        <v>5</v>
      </c>
      <c r="E29" s="8" t="s">
        <v>6</v>
      </c>
    </row>
    <row r="30" spans="1:5" x14ac:dyDescent="0.25">
      <c r="A30" s="9" t="s">
        <v>47</v>
      </c>
      <c r="B30" s="10">
        <v>2</v>
      </c>
      <c r="C30" s="11">
        <f>'Ingredient Prices'!E4</f>
        <v>16</v>
      </c>
      <c r="D30" s="23">
        <f>B30*C30</f>
        <v>32</v>
      </c>
      <c r="E30" s="15"/>
    </row>
    <row r="31" spans="1:5" x14ac:dyDescent="0.25">
      <c r="A31" s="9" t="s">
        <v>9</v>
      </c>
      <c r="B31" s="10">
        <v>85</v>
      </c>
      <c r="C31" s="11">
        <f>'Ingredient Prices'!E8</f>
        <v>0.13</v>
      </c>
      <c r="D31" s="23">
        <f>B31*C31</f>
        <v>11.05</v>
      </c>
      <c r="E31" s="15"/>
    </row>
    <row r="32" spans="1:5" x14ac:dyDescent="0.25">
      <c r="A32" s="14" t="s">
        <v>82</v>
      </c>
      <c r="B32" s="27">
        <f>SUM(B30:B31)</f>
        <v>87</v>
      </c>
      <c r="C32" s="15"/>
      <c r="D32" s="28">
        <f>SUM(D30:D31)</f>
        <v>43.05</v>
      </c>
      <c r="E32" s="15"/>
    </row>
    <row r="33" spans="1:5" x14ac:dyDescent="0.25">
      <c r="A33" s="9" t="s">
        <v>83</v>
      </c>
      <c r="B33" s="29">
        <f>B32*1</f>
        <v>87</v>
      </c>
      <c r="C33" s="18" t="s">
        <v>84</v>
      </c>
      <c r="D33" s="15"/>
      <c r="E33" s="18" t="s">
        <v>86</v>
      </c>
    </row>
    <row r="34" spans="1:5" x14ac:dyDescent="0.25">
      <c r="A34" s="14" t="s">
        <v>85</v>
      </c>
      <c r="B34" s="15"/>
      <c r="C34" s="15"/>
      <c r="D34" s="28">
        <f>D32/B33</f>
        <v>0.49482758620689654</v>
      </c>
      <c r="E34" s="15"/>
    </row>
    <row r="36" spans="1:5" x14ac:dyDescent="0.25">
      <c r="A36" s="1" t="s">
        <v>87</v>
      </c>
      <c r="B36" s="1"/>
      <c r="C36" s="1"/>
      <c r="D36" s="1"/>
      <c r="E36" s="1"/>
    </row>
    <row r="37" spans="1:5" x14ac:dyDescent="0.25">
      <c r="A37" s="30" t="s">
        <v>41</v>
      </c>
      <c r="B37" s="30" t="s">
        <v>81</v>
      </c>
      <c r="C37" s="30" t="s">
        <v>4</v>
      </c>
      <c r="D37" s="30" t="s">
        <v>5</v>
      </c>
      <c r="E37" s="30" t="s">
        <v>6</v>
      </c>
    </row>
    <row r="38" spans="1:5" x14ac:dyDescent="0.25">
      <c r="A38" s="9" t="s">
        <v>57</v>
      </c>
      <c r="B38" s="10">
        <v>200</v>
      </c>
      <c r="C38" s="11">
        <f>'Ingredient Prices'!E9</f>
        <v>0.16250000000000001</v>
      </c>
      <c r="D38" s="23">
        <f>B38*C38</f>
        <v>32.5</v>
      </c>
      <c r="E38" s="15"/>
    </row>
    <row r="39" spans="1:5" x14ac:dyDescent="0.25">
      <c r="A39" s="9" t="s">
        <v>61</v>
      </c>
      <c r="B39" s="10">
        <v>100</v>
      </c>
      <c r="C39" s="11">
        <f>'Ingredient Prices'!E11</f>
        <v>9.5000000000000001E-2</v>
      </c>
      <c r="D39" s="23">
        <f>B39*C39</f>
        <v>9.5</v>
      </c>
      <c r="E39" s="15"/>
    </row>
    <row r="40" spans="1:5" x14ac:dyDescent="0.25">
      <c r="A40" s="14" t="s">
        <v>82</v>
      </c>
      <c r="B40" s="27">
        <f>SUM(B38:B39)</f>
        <v>300</v>
      </c>
      <c r="C40" s="15"/>
      <c r="D40" s="28">
        <f>SUM(D38:D39)</f>
        <v>42</v>
      </c>
      <c r="E40" s="15"/>
    </row>
    <row r="41" spans="1:5" x14ac:dyDescent="0.25">
      <c r="A41" s="9" t="s">
        <v>83</v>
      </c>
      <c r="B41" s="29">
        <f>B40*0.75</f>
        <v>225</v>
      </c>
      <c r="C41" s="18" t="s">
        <v>88</v>
      </c>
      <c r="D41" s="15"/>
      <c r="E41" s="18" t="s">
        <v>89</v>
      </c>
    </row>
    <row r="42" spans="1:5" x14ac:dyDescent="0.25">
      <c r="A42" s="14" t="s">
        <v>85</v>
      </c>
      <c r="B42" s="15"/>
      <c r="C42" s="15"/>
      <c r="D42" s="28">
        <f>D40/B41</f>
        <v>0.18666666666666668</v>
      </c>
      <c r="E42" s="15"/>
    </row>
    <row r="44" spans="1:5" x14ac:dyDescent="0.25">
      <c r="A44" s="1" t="s">
        <v>24</v>
      </c>
      <c r="B44" s="1"/>
      <c r="C44" s="1"/>
      <c r="D44" s="1"/>
      <c r="E44" s="1"/>
    </row>
    <row r="45" spans="1:5" x14ac:dyDescent="0.25">
      <c r="A45" s="30" t="s">
        <v>41</v>
      </c>
      <c r="B45" s="30" t="s">
        <v>81</v>
      </c>
      <c r="C45" s="30" t="s">
        <v>4</v>
      </c>
      <c r="D45" s="30" t="s">
        <v>5</v>
      </c>
      <c r="E45" s="30" t="s">
        <v>6</v>
      </c>
    </row>
    <row r="46" spans="1:5" x14ac:dyDescent="0.25">
      <c r="A46" s="9" t="s">
        <v>54</v>
      </c>
      <c r="B46" s="10">
        <v>60</v>
      </c>
      <c r="C46" s="11">
        <f>'Ingredient Prices'!E7</f>
        <v>0.45</v>
      </c>
      <c r="D46" s="23">
        <f>B46*C46</f>
        <v>27</v>
      </c>
      <c r="E46" s="15"/>
    </row>
    <row r="47" spans="1:5" x14ac:dyDescent="0.25">
      <c r="A47" s="9" t="s">
        <v>57</v>
      </c>
      <c r="B47" s="10">
        <v>60</v>
      </c>
      <c r="C47" s="11">
        <f>'Ingredient Prices'!E9</f>
        <v>0.16250000000000001</v>
      </c>
      <c r="D47" s="23">
        <f>B47*C47</f>
        <v>9.75</v>
      </c>
      <c r="E47" s="15"/>
    </row>
    <row r="48" spans="1:5" x14ac:dyDescent="0.25">
      <c r="A48" s="9" t="s">
        <v>90</v>
      </c>
      <c r="B48" s="10">
        <v>120</v>
      </c>
      <c r="C48" s="31">
        <f>D42</f>
        <v>0.18666666666666668</v>
      </c>
      <c r="D48" s="23">
        <f>B48*C48</f>
        <v>22.400000000000002</v>
      </c>
      <c r="E48" s="18" t="s">
        <v>91</v>
      </c>
    </row>
    <row r="49" spans="1:5" x14ac:dyDescent="0.25">
      <c r="A49" s="14" t="s">
        <v>82</v>
      </c>
      <c r="B49" s="27">
        <f>SUM(B46:B48)</f>
        <v>240</v>
      </c>
      <c r="C49" s="15"/>
      <c r="D49" s="28">
        <f>SUM(D46:D48)</f>
        <v>59.150000000000006</v>
      </c>
      <c r="E49" s="15"/>
    </row>
    <row r="50" spans="1:5" x14ac:dyDescent="0.25">
      <c r="A50" s="9" t="s">
        <v>83</v>
      </c>
      <c r="B50" s="29">
        <f>B49*1</f>
        <v>240</v>
      </c>
      <c r="C50" s="18" t="s">
        <v>84</v>
      </c>
      <c r="D50" s="15"/>
      <c r="E50" s="18" t="s">
        <v>92</v>
      </c>
    </row>
    <row r="51" spans="1:5" x14ac:dyDescent="0.25">
      <c r="A51" s="14" t="s">
        <v>85</v>
      </c>
      <c r="B51" s="15"/>
      <c r="C51" s="15"/>
      <c r="D51" s="28">
        <f>D49/B50</f>
        <v>0.24645833333333336</v>
      </c>
      <c r="E51" s="15"/>
    </row>
    <row r="53" spans="1:5" x14ac:dyDescent="0.25">
      <c r="A53" s="1" t="s">
        <v>25</v>
      </c>
      <c r="B53" s="1"/>
      <c r="C53" s="1"/>
      <c r="D53" s="1"/>
      <c r="E53" s="1"/>
    </row>
    <row r="54" spans="1:5" x14ac:dyDescent="0.25">
      <c r="A54" s="30" t="s">
        <v>41</v>
      </c>
      <c r="B54" s="30" t="s">
        <v>81</v>
      </c>
      <c r="C54" s="30" t="s">
        <v>4</v>
      </c>
      <c r="D54" s="30" t="s">
        <v>5</v>
      </c>
      <c r="E54" s="30" t="s">
        <v>6</v>
      </c>
    </row>
    <row r="55" spans="1:5" x14ac:dyDescent="0.25">
      <c r="A55" s="9" t="s">
        <v>59</v>
      </c>
      <c r="B55" s="10">
        <v>200</v>
      </c>
      <c r="C55" s="11">
        <f>'Ingredient Prices'!E10</f>
        <v>0.17499999999999999</v>
      </c>
      <c r="D55" s="23">
        <f>B55*C55</f>
        <v>35</v>
      </c>
      <c r="E55" s="15"/>
    </row>
    <row r="56" spans="1:5" x14ac:dyDescent="0.25">
      <c r="A56" s="14" t="s">
        <v>82</v>
      </c>
      <c r="B56" s="27">
        <f>SUM(B55:B55)</f>
        <v>200</v>
      </c>
      <c r="C56" s="15"/>
      <c r="D56" s="28">
        <f>SUM(D55:D55)</f>
        <v>35</v>
      </c>
      <c r="E56" s="15"/>
    </row>
    <row r="57" spans="1:5" x14ac:dyDescent="0.25">
      <c r="A57" s="9" t="s">
        <v>83</v>
      </c>
      <c r="B57" s="29">
        <f>B56*0.25</f>
        <v>50</v>
      </c>
      <c r="C57" s="18" t="s">
        <v>93</v>
      </c>
      <c r="D57" s="15"/>
      <c r="E57" s="18" t="s">
        <v>94</v>
      </c>
    </row>
    <row r="58" spans="1:5" x14ac:dyDescent="0.25">
      <c r="A58" s="14" t="s">
        <v>85</v>
      </c>
      <c r="B58" s="15"/>
      <c r="C58" s="15"/>
      <c r="D58" s="28">
        <f>D56/B57</f>
        <v>0.7</v>
      </c>
      <c r="E58" s="15"/>
    </row>
    <row r="60" spans="1:5" x14ac:dyDescent="0.25">
      <c r="A60" s="2" t="s">
        <v>18</v>
      </c>
      <c r="B60" s="2"/>
      <c r="C60" s="2"/>
      <c r="D60" s="2"/>
      <c r="E60" s="2"/>
    </row>
    <row r="61" spans="1:5" x14ac:dyDescent="0.25">
      <c r="A61" s="8" t="s">
        <v>41</v>
      </c>
      <c r="B61" s="8" t="s">
        <v>81</v>
      </c>
      <c r="C61" s="8" t="s">
        <v>4</v>
      </c>
      <c r="D61" s="8" t="s">
        <v>5</v>
      </c>
      <c r="E61" s="8" t="s">
        <v>6</v>
      </c>
    </row>
    <row r="62" spans="1:5" x14ac:dyDescent="0.25">
      <c r="A62" s="9" t="s">
        <v>63</v>
      </c>
      <c r="B62" s="10">
        <v>100</v>
      </c>
      <c r="C62" s="11">
        <f>'Ingredient Prices'!E12</f>
        <v>0.09</v>
      </c>
      <c r="D62" s="23">
        <f>B62*C62</f>
        <v>9</v>
      </c>
      <c r="E62" s="15"/>
    </row>
    <row r="63" spans="1:5" x14ac:dyDescent="0.25">
      <c r="A63" s="9" t="s">
        <v>50</v>
      </c>
      <c r="B63" s="10">
        <v>100</v>
      </c>
      <c r="C63" s="11">
        <f>'Ingredient Prices'!E5</f>
        <v>5.0000000000000002E-5</v>
      </c>
      <c r="D63" s="23">
        <f>B63*C63</f>
        <v>5.0000000000000001E-3</v>
      </c>
      <c r="E63" s="15"/>
    </row>
    <row r="64" spans="1:5" x14ac:dyDescent="0.25">
      <c r="A64" s="14" t="s">
        <v>82</v>
      </c>
      <c r="B64" s="27">
        <f>SUM(B62:B63)</f>
        <v>200</v>
      </c>
      <c r="C64" s="15"/>
      <c r="D64" s="28">
        <f>SUM(D62:D63)</f>
        <v>9.0050000000000008</v>
      </c>
      <c r="E64" s="15"/>
    </row>
    <row r="65" spans="1:5" x14ac:dyDescent="0.25">
      <c r="A65" s="9" t="s">
        <v>83</v>
      </c>
      <c r="B65" s="29">
        <f>B64*1</f>
        <v>200</v>
      </c>
      <c r="C65" s="18" t="s">
        <v>84</v>
      </c>
      <c r="D65" s="15"/>
      <c r="E65" s="18" t="s">
        <v>95</v>
      </c>
    </row>
    <row r="66" spans="1:5" x14ac:dyDescent="0.25">
      <c r="A66" s="14" t="s">
        <v>85</v>
      </c>
      <c r="B66" s="15"/>
      <c r="C66" s="15"/>
      <c r="D66" s="28">
        <f>D64/B65</f>
        <v>4.5025000000000003E-2</v>
      </c>
      <c r="E66" s="15"/>
    </row>
    <row r="68" spans="1:5" x14ac:dyDescent="0.25">
      <c r="A68" s="2" t="s">
        <v>15</v>
      </c>
      <c r="B68" s="2"/>
      <c r="C68" s="2"/>
      <c r="D68" s="2"/>
      <c r="E68" s="2"/>
    </row>
    <row r="69" spans="1:5" x14ac:dyDescent="0.25">
      <c r="A69" s="8" t="s">
        <v>41</v>
      </c>
      <c r="B69" s="8" t="s">
        <v>81</v>
      </c>
      <c r="C69" s="8" t="s">
        <v>4</v>
      </c>
      <c r="D69" s="8" t="s">
        <v>5</v>
      </c>
      <c r="E69" s="8" t="s">
        <v>6</v>
      </c>
    </row>
    <row r="70" spans="1:5" x14ac:dyDescent="0.25">
      <c r="A70" s="9" t="s">
        <v>50</v>
      </c>
      <c r="B70" s="10">
        <v>240</v>
      </c>
      <c r="C70" s="11">
        <f>'Ingredient Prices'!E5</f>
        <v>5.0000000000000002E-5</v>
      </c>
      <c r="D70" s="23">
        <f>B70*C70</f>
        <v>1.2E-2</v>
      </c>
      <c r="E70" s="15"/>
    </row>
    <row r="71" spans="1:5" x14ac:dyDescent="0.25">
      <c r="A71" s="9" t="s">
        <v>63</v>
      </c>
      <c r="B71" s="10">
        <v>200</v>
      </c>
      <c r="C71" s="11">
        <f>'Ingredient Prices'!E12</f>
        <v>0.09</v>
      </c>
      <c r="D71" s="23">
        <f>B71*C71</f>
        <v>18</v>
      </c>
      <c r="E71" s="15"/>
    </row>
    <row r="72" spans="1:5" x14ac:dyDescent="0.25">
      <c r="A72" s="9" t="s">
        <v>68</v>
      </c>
      <c r="B72" s="10">
        <v>3</v>
      </c>
      <c r="C72" s="11">
        <f>'Ingredient Prices'!E15</f>
        <v>17</v>
      </c>
      <c r="D72" s="23">
        <f>B72*C72</f>
        <v>51</v>
      </c>
      <c r="E72" s="15"/>
    </row>
    <row r="73" spans="1:5" x14ac:dyDescent="0.25">
      <c r="A73" s="14" t="s">
        <v>82</v>
      </c>
      <c r="B73" s="27">
        <f>SUM(B70:B72)</f>
        <v>443</v>
      </c>
      <c r="C73" s="15"/>
      <c r="D73" s="28">
        <f>SUM(D70:D72)</f>
        <v>69.012</v>
      </c>
      <c r="E73" s="15"/>
    </row>
    <row r="74" spans="1:5" x14ac:dyDescent="0.25">
      <c r="A74" s="9" t="s">
        <v>83</v>
      </c>
      <c r="B74" s="29">
        <f>B73*0.9</f>
        <v>398.7</v>
      </c>
      <c r="C74" s="18" t="s">
        <v>96</v>
      </c>
      <c r="D74" s="15"/>
      <c r="E74" s="18" t="s">
        <v>97</v>
      </c>
    </row>
    <row r="75" spans="1:5" x14ac:dyDescent="0.25">
      <c r="A75" s="14" t="s">
        <v>85</v>
      </c>
      <c r="B75" s="15"/>
      <c r="C75" s="15"/>
      <c r="D75" s="28">
        <f>D73/B74</f>
        <v>0.17309255079006772</v>
      </c>
      <c r="E75" s="15"/>
    </row>
  </sheetData>
  <mergeCells count="10">
    <mergeCell ref="A36:E36"/>
    <mergeCell ref="A44:E44"/>
    <mergeCell ref="A53:E53"/>
    <mergeCell ref="A60:E60"/>
    <mergeCell ref="A68:E68"/>
    <mergeCell ref="A1:E1"/>
    <mergeCell ref="A3:E3"/>
    <mergeCell ref="A11:E11"/>
    <mergeCell ref="A19:E19"/>
    <mergeCell ref="A28:E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8"/>
  <sheetViews>
    <sheetView tabSelected="1" topLeftCell="A7" zoomScaleNormal="100" workbookViewId="0">
      <selection activeCell="E37" sqref="E37"/>
    </sheetView>
  </sheetViews>
  <sheetFormatPr defaultColWidth="8.7109375" defaultRowHeight="15" x14ac:dyDescent="0.25"/>
  <cols>
    <col min="1" max="1" width="32" style="33" customWidth="1"/>
    <col min="2" max="2" width="22" style="33" customWidth="1"/>
    <col min="3" max="3" width="14" style="33" customWidth="1"/>
    <col min="4" max="4" width="27.140625" style="33" customWidth="1"/>
    <col min="5" max="5" width="47.28515625" style="33" customWidth="1"/>
    <col min="6" max="6" width="38" style="33" customWidth="1"/>
    <col min="7" max="16384" width="8.7109375" style="33"/>
  </cols>
  <sheetData>
    <row r="1" spans="1:6" ht="18" customHeight="1" x14ac:dyDescent="0.3">
      <c r="A1" s="32" t="s">
        <v>98</v>
      </c>
      <c r="B1" s="32"/>
      <c r="C1" s="32"/>
      <c r="D1" s="32"/>
      <c r="E1" s="32"/>
      <c r="F1" s="32"/>
    </row>
    <row r="2" spans="1:6" ht="18" customHeight="1" x14ac:dyDescent="0.25"/>
    <row r="3" spans="1:6" ht="18" customHeight="1" x14ac:dyDescent="0.25">
      <c r="A3" s="34" t="s">
        <v>99</v>
      </c>
      <c r="B3" s="52">
        <v>150</v>
      </c>
      <c r="C3" s="35" t="s">
        <v>100</v>
      </c>
      <c r="E3" s="36" t="s">
        <v>101</v>
      </c>
      <c r="F3" s="36"/>
    </row>
    <row r="4" spans="1:6" ht="18" customHeight="1" x14ac:dyDescent="0.25">
      <c r="A4" s="34" t="s">
        <v>102</v>
      </c>
      <c r="B4" s="37">
        <v>0.1</v>
      </c>
      <c r="C4" s="38" t="s">
        <v>103</v>
      </c>
    </row>
    <row r="5" spans="1:6" ht="18" customHeight="1" x14ac:dyDescent="0.25">
      <c r="A5" s="34" t="s">
        <v>104</v>
      </c>
      <c r="B5" s="39">
        <f>B3*(1+B4)</f>
        <v>165</v>
      </c>
      <c r="C5" s="38" t="s">
        <v>105</v>
      </c>
    </row>
    <row r="6" spans="1:6" ht="18" customHeight="1" x14ac:dyDescent="0.25"/>
    <row r="7" spans="1:6" ht="18" customHeight="1" x14ac:dyDescent="0.25">
      <c r="A7" s="40" t="s">
        <v>106</v>
      </c>
      <c r="B7" s="40"/>
      <c r="C7" s="40"/>
      <c r="D7" s="40"/>
      <c r="E7" s="40"/>
      <c r="F7" s="40"/>
    </row>
    <row r="8" spans="1:6" ht="18" customHeight="1" x14ac:dyDescent="0.25">
      <c r="A8" s="41" t="s">
        <v>41</v>
      </c>
      <c r="B8" s="41" t="s">
        <v>107</v>
      </c>
      <c r="C8" s="41" t="s">
        <v>43</v>
      </c>
      <c r="D8" s="41" t="s">
        <v>108</v>
      </c>
      <c r="E8" s="41" t="s">
        <v>42</v>
      </c>
      <c r="F8" s="41" t="s">
        <v>109</v>
      </c>
    </row>
    <row r="9" spans="1:6" ht="18" customHeight="1" x14ac:dyDescent="0.25">
      <c r="A9" s="42" t="s">
        <v>7</v>
      </c>
      <c r="B9" s="43">
        <v>20</v>
      </c>
      <c r="C9" s="44" t="s">
        <v>48</v>
      </c>
      <c r="D9" s="45">
        <f t="shared" ref="D9:D14" si="0">B9*$B$5</f>
        <v>3300</v>
      </c>
      <c r="E9" s="46" t="s">
        <v>110</v>
      </c>
      <c r="F9" s="39">
        <f>ROUNDUP(D9/500,0)</f>
        <v>7</v>
      </c>
    </row>
    <row r="10" spans="1:6" ht="18" customHeight="1" x14ac:dyDescent="0.25">
      <c r="A10" s="42" t="s">
        <v>111</v>
      </c>
      <c r="B10" s="43">
        <v>195</v>
      </c>
      <c r="C10" s="44" t="s">
        <v>48</v>
      </c>
      <c r="D10" s="45">
        <f t="shared" si="0"/>
        <v>32175</v>
      </c>
      <c r="E10" s="46" t="s">
        <v>112</v>
      </c>
      <c r="F10" s="39">
        <f>ROUNDUP(D10/1000,0)</f>
        <v>33</v>
      </c>
    </row>
    <row r="11" spans="1:6" ht="18" customHeight="1" x14ac:dyDescent="0.25">
      <c r="A11" s="42" t="s">
        <v>19</v>
      </c>
      <c r="B11" s="43">
        <v>0.1</v>
      </c>
      <c r="C11" s="44" t="s">
        <v>71</v>
      </c>
      <c r="D11" s="45">
        <f t="shared" si="0"/>
        <v>16.5</v>
      </c>
      <c r="E11" s="46" t="s">
        <v>113</v>
      </c>
      <c r="F11" s="39">
        <f>ROUNDUP(D11/20,0)</f>
        <v>1</v>
      </c>
    </row>
    <row r="12" spans="1:6" ht="18" customHeight="1" x14ac:dyDescent="0.25">
      <c r="A12" s="42" t="s">
        <v>114</v>
      </c>
      <c r="B12" s="43">
        <v>1</v>
      </c>
      <c r="C12" s="44" t="s">
        <v>69</v>
      </c>
      <c r="D12" s="45">
        <f t="shared" si="0"/>
        <v>165</v>
      </c>
      <c r="E12" s="46" t="s">
        <v>115</v>
      </c>
      <c r="F12" s="39">
        <f>ROUNDUP(D12/25,0)</f>
        <v>7</v>
      </c>
    </row>
    <row r="13" spans="1:6" ht="18" customHeight="1" x14ac:dyDescent="0.25">
      <c r="A13" s="42" t="s">
        <v>12</v>
      </c>
      <c r="B13" s="43">
        <v>4</v>
      </c>
      <c r="C13" s="44" t="s">
        <v>69</v>
      </c>
      <c r="D13" s="45">
        <f t="shared" si="0"/>
        <v>660</v>
      </c>
      <c r="E13" s="46" t="s">
        <v>116</v>
      </c>
      <c r="F13" s="39">
        <f>ROUNDUP(D13/50,0)</f>
        <v>14</v>
      </c>
    </row>
    <row r="14" spans="1:6" ht="18" customHeight="1" x14ac:dyDescent="0.25">
      <c r="A14" s="42" t="s">
        <v>75</v>
      </c>
      <c r="B14" s="43">
        <v>1</v>
      </c>
      <c r="C14" s="44" t="s">
        <v>69</v>
      </c>
      <c r="D14" s="45">
        <f t="shared" si="0"/>
        <v>165</v>
      </c>
      <c r="E14" s="46" t="s">
        <v>117</v>
      </c>
      <c r="F14" s="39">
        <f>ROUNDUP(D14/100,0)</f>
        <v>2</v>
      </c>
    </row>
    <row r="15" spans="1:6" ht="18" customHeight="1" x14ac:dyDescent="0.25"/>
    <row r="16" spans="1:6" ht="18" customHeight="1" x14ac:dyDescent="0.25">
      <c r="A16" s="40" t="s">
        <v>118</v>
      </c>
      <c r="B16" s="40"/>
      <c r="C16" s="40"/>
      <c r="D16" s="40"/>
      <c r="E16" s="40"/>
      <c r="F16" s="40"/>
    </row>
    <row r="17" spans="1:6" ht="18" customHeight="1" x14ac:dyDescent="0.25">
      <c r="A17" s="41" t="s">
        <v>119</v>
      </c>
      <c r="B17" s="41" t="s">
        <v>120</v>
      </c>
      <c r="C17" s="41" t="s">
        <v>43</v>
      </c>
      <c r="D17" s="41" t="s">
        <v>121</v>
      </c>
      <c r="E17" s="41" t="s">
        <v>122</v>
      </c>
      <c r="F17" s="41" t="s">
        <v>123</v>
      </c>
    </row>
    <row r="18" spans="1:6" ht="18" customHeight="1" x14ac:dyDescent="0.25">
      <c r="A18" s="42" t="s">
        <v>15</v>
      </c>
      <c r="B18" s="43">
        <v>20</v>
      </c>
      <c r="C18" s="44" t="s">
        <v>48</v>
      </c>
      <c r="D18" s="45">
        <f t="shared" ref="D18:D26" si="1">B18*$B$5</f>
        <v>3300</v>
      </c>
      <c r="E18" s="42" t="s">
        <v>124</v>
      </c>
      <c r="F18" s="39">
        <f>ROUNDUP(D18/1000,0)</f>
        <v>4</v>
      </c>
    </row>
    <row r="19" spans="1:6" ht="18" customHeight="1" x14ac:dyDescent="0.25">
      <c r="A19" s="42" t="s">
        <v>18</v>
      </c>
      <c r="B19" s="43">
        <v>16</v>
      </c>
      <c r="C19" s="44" t="s">
        <v>48</v>
      </c>
      <c r="D19" s="45">
        <f t="shared" si="1"/>
        <v>2640</v>
      </c>
      <c r="E19" s="42" t="s">
        <v>124</v>
      </c>
      <c r="F19" s="39">
        <f>ROUNDUP(D19/1000,0)</f>
        <v>3</v>
      </c>
    </row>
    <row r="20" spans="1:6" ht="18" customHeight="1" x14ac:dyDescent="0.25">
      <c r="A20" s="42" t="s">
        <v>23</v>
      </c>
      <c r="B20" s="43">
        <v>87</v>
      </c>
      <c r="C20" s="44" t="s">
        <v>48</v>
      </c>
      <c r="D20" s="45">
        <f t="shared" si="1"/>
        <v>14355</v>
      </c>
      <c r="E20" s="42" t="s">
        <v>125</v>
      </c>
      <c r="F20" s="39">
        <f>ROUNDUP(D20/2000,0)</f>
        <v>8</v>
      </c>
    </row>
    <row r="21" spans="1:6" ht="18" customHeight="1" x14ac:dyDescent="0.25">
      <c r="A21" s="42" t="s">
        <v>126</v>
      </c>
      <c r="B21" s="43">
        <v>27</v>
      </c>
      <c r="C21" s="44" t="s">
        <v>48</v>
      </c>
      <c r="D21" s="45">
        <f t="shared" si="1"/>
        <v>4455</v>
      </c>
      <c r="E21" s="42" t="s">
        <v>127</v>
      </c>
      <c r="F21" s="39">
        <f>ROUNDUP(D21/2000,0)</f>
        <v>3</v>
      </c>
    </row>
    <row r="22" spans="1:6" ht="18" customHeight="1" x14ac:dyDescent="0.25">
      <c r="A22" s="42" t="s">
        <v>128</v>
      </c>
      <c r="B22" s="43">
        <v>60</v>
      </c>
      <c r="C22" s="44" t="s">
        <v>48</v>
      </c>
      <c r="D22" s="45">
        <f t="shared" si="1"/>
        <v>9900</v>
      </c>
      <c r="E22" s="42" t="s">
        <v>129</v>
      </c>
      <c r="F22" s="39">
        <f>ROUNDUP(D22/2000,0)</f>
        <v>5</v>
      </c>
    </row>
    <row r="23" spans="1:6" ht="18" customHeight="1" x14ac:dyDescent="0.25">
      <c r="A23" s="42" t="s">
        <v>87</v>
      </c>
      <c r="B23" s="43">
        <v>30</v>
      </c>
      <c r="C23" s="44" t="s">
        <v>48</v>
      </c>
      <c r="D23" s="45">
        <f t="shared" si="1"/>
        <v>4950</v>
      </c>
      <c r="E23" s="42" t="s">
        <v>130</v>
      </c>
      <c r="F23" s="39">
        <f>ROUNDUP(D23/500,0)</f>
        <v>10</v>
      </c>
    </row>
    <row r="24" spans="1:6" ht="18" customHeight="1" x14ac:dyDescent="0.25">
      <c r="A24" s="42" t="s">
        <v>131</v>
      </c>
      <c r="B24" s="43">
        <v>5</v>
      </c>
      <c r="C24" s="44" t="s">
        <v>48</v>
      </c>
      <c r="D24" s="45">
        <f t="shared" si="1"/>
        <v>825</v>
      </c>
      <c r="E24" s="42" t="s">
        <v>132</v>
      </c>
      <c r="F24" s="39">
        <f>ROUNDUP(D24/5,0)</f>
        <v>165</v>
      </c>
    </row>
    <row r="25" spans="1:6" ht="18" customHeight="1" x14ac:dyDescent="0.25">
      <c r="A25" s="42" t="s">
        <v>133</v>
      </c>
      <c r="B25" s="43">
        <v>2</v>
      </c>
      <c r="C25" s="44" t="s">
        <v>48</v>
      </c>
      <c r="D25" s="45">
        <f t="shared" si="1"/>
        <v>330</v>
      </c>
      <c r="E25" s="42" t="s">
        <v>134</v>
      </c>
      <c r="F25" s="39">
        <f>ROUNDUP(D25/12,0)</f>
        <v>28</v>
      </c>
    </row>
    <row r="26" spans="1:6" ht="18" customHeight="1" x14ac:dyDescent="0.25">
      <c r="A26" s="42" t="s">
        <v>135</v>
      </c>
      <c r="B26" s="43">
        <v>2</v>
      </c>
      <c r="C26" s="44" t="s">
        <v>48</v>
      </c>
      <c r="D26" s="45">
        <f t="shared" si="1"/>
        <v>330</v>
      </c>
      <c r="E26" s="42" t="s">
        <v>134</v>
      </c>
      <c r="F26" s="39">
        <f>ROUNDUP(D26/12,0)</f>
        <v>28</v>
      </c>
    </row>
    <row r="27" spans="1:6" ht="18" customHeight="1" x14ac:dyDescent="0.25"/>
    <row r="28" spans="1:6" ht="18" customHeight="1" x14ac:dyDescent="0.25">
      <c r="A28" s="40" t="s">
        <v>136</v>
      </c>
      <c r="B28" s="40"/>
      <c r="C28" s="40"/>
      <c r="D28" s="40"/>
      <c r="E28" s="40"/>
      <c r="F28" s="40"/>
    </row>
    <row r="29" spans="1:6" ht="18" customHeight="1" x14ac:dyDescent="0.25">
      <c r="A29" s="41" t="s">
        <v>137</v>
      </c>
      <c r="B29" s="41" t="s">
        <v>138</v>
      </c>
      <c r="C29" s="41" t="s">
        <v>139</v>
      </c>
      <c r="D29" s="41" t="s">
        <v>43</v>
      </c>
      <c r="E29" s="41" t="s">
        <v>108</v>
      </c>
      <c r="F29" s="41" t="s">
        <v>109</v>
      </c>
    </row>
    <row r="30" spans="1:6" ht="18" customHeight="1" x14ac:dyDescent="0.25">
      <c r="A30" s="42" t="s">
        <v>47</v>
      </c>
      <c r="B30" s="47" t="s">
        <v>140</v>
      </c>
      <c r="C30" s="48">
        <v>8</v>
      </c>
      <c r="D30" s="44" t="s">
        <v>48</v>
      </c>
      <c r="E30" s="45">
        <f t="shared" ref="E30:E40" si="2">C30*$B$5</f>
        <v>1320</v>
      </c>
      <c r="F30" s="49" t="str">
        <f>ROUNDUP(E30/100,0)&amp;" × 100g pack"</f>
        <v>14 × 100g pack</v>
      </c>
    </row>
    <row r="31" spans="1:6" ht="18" customHeight="1" x14ac:dyDescent="0.25">
      <c r="A31" s="42" t="s">
        <v>9</v>
      </c>
      <c r="B31" s="47" t="s">
        <v>141</v>
      </c>
      <c r="C31" s="48">
        <v>280</v>
      </c>
      <c r="D31" s="44" t="s">
        <v>48</v>
      </c>
      <c r="E31" s="45">
        <f t="shared" si="2"/>
        <v>46200</v>
      </c>
      <c r="F31" s="49" t="str">
        <f>ROUNDUP(E31/1000,0)&amp;" × 1L carton"</f>
        <v>47 × 1L carton</v>
      </c>
    </row>
    <row r="32" spans="1:6" ht="18" customHeight="1" x14ac:dyDescent="0.25">
      <c r="A32" s="42" t="s">
        <v>142</v>
      </c>
      <c r="B32" s="47" t="s">
        <v>143</v>
      </c>
      <c r="C32" s="48">
        <v>20</v>
      </c>
      <c r="D32" s="44" t="s">
        <v>48</v>
      </c>
      <c r="E32" s="45">
        <f t="shared" si="2"/>
        <v>3300</v>
      </c>
      <c r="F32" s="49" t="str">
        <f>ROUNDUP(E32/1000,0)&amp;" × L (use kettle)"</f>
        <v>4 × L (use kettle)</v>
      </c>
    </row>
    <row r="33" spans="1:6" ht="18" customHeight="1" x14ac:dyDescent="0.25">
      <c r="A33" s="42" t="s">
        <v>52</v>
      </c>
      <c r="B33" s="47" t="s">
        <v>144</v>
      </c>
      <c r="C33" s="48">
        <v>25</v>
      </c>
      <c r="D33" s="44" t="s">
        <v>48</v>
      </c>
      <c r="E33" s="45">
        <f t="shared" si="2"/>
        <v>4125</v>
      </c>
      <c r="F33" s="49" t="str">
        <f>ROUNDUP(E33/1000,0)&amp;" × 1L carton"</f>
        <v>5 × 1L carton</v>
      </c>
    </row>
    <row r="34" spans="1:6" ht="18" customHeight="1" x14ac:dyDescent="0.25">
      <c r="A34" s="42" t="s">
        <v>54</v>
      </c>
      <c r="B34" s="47" t="s">
        <v>145</v>
      </c>
      <c r="C34" s="48">
        <v>35</v>
      </c>
      <c r="D34" s="44" t="s">
        <v>48</v>
      </c>
      <c r="E34" s="45">
        <f t="shared" si="2"/>
        <v>5775</v>
      </c>
      <c r="F34" s="49" t="str">
        <f>ROUNDUP(E34/1000,0)&amp;" × 1L carton"</f>
        <v>6 × 1L carton</v>
      </c>
    </row>
    <row r="35" spans="1:6" ht="18" customHeight="1" x14ac:dyDescent="0.25">
      <c r="A35" s="42" t="s">
        <v>57</v>
      </c>
      <c r="B35" s="47" t="s">
        <v>146</v>
      </c>
      <c r="C35" s="48">
        <v>41.67</v>
      </c>
      <c r="D35" s="44" t="s">
        <v>48</v>
      </c>
      <c r="E35" s="45">
        <f t="shared" si="2"/>
        <v>6875.55</v>
      </c>
      <c r="F35" s="49" t="str">
        <f>ROUNDUP(E35/400,0)&amp;" × 400ml can"</f>
        <v>18 × 400ml can</v>
      </c>
    </row>
    <row r="36" spans="1:6" ht="18" customHeight="1" x14ac:dyDescent="0.25">
      <c r="A36" s="42" t="s">
        <v>59</v>
      </c>
      <c r="B36" s="47" t="s">
        <v>25</v>
      </c>
      <c r="C36" s="48">
        <v>20</v>
      </c>
      <c r="D36" s="44" t="s">
        <v>48</v>
      </c>
      <c r="E36" s="45">
        <f t="shared" si="2"/>
        <v>3300</v>
      </c>
      <c r="F36" s="49" t="str">
        <f>ROUNDUP(E36/400,0)&amp;" × 400ml can"</f>
        <v>9 × 400ml can</v>
      </c>
    </row>
    <row r="37" spans="1:6" ht="18" customHeight="1" x14ac:dyDescent="0.25">
      <c r="A37" s="42" t="s">
        <v>61</v>
      </c>
      <c r="B37" s="47" t="s">
        <v>87</v>
      </c>
      <c r="C37" s="48">
        <v>13.33</v>
      </c>
      <c r="D37" s="44" t="s">
        <v>48</v>
      </c>
      <c r="E37" s="45">
        <f t="shared" si="2"/>
        <v>2199.4499999999998</v>
      </c>
      <c r="F37" s="49" t="str">
        <f>ROUNDUP(E37/1000,0)&amp;" × 1kg pack"</f>
        <v>3 × 1kg pack</v>
      </c>
    </row>
    <row r="38" spans="1:6" ht="18" customHeight="1" x14ac:dyDescent="0.25">
      <c r="A38" s="42" t="s">
        <v>147</v>
      </c>
      <c r="B38" s="47" t="s">
        <v>148</v>
      </c>
      <c r="C38" s="48">
        <v>18.04</v>
      </c>
      <c r="D38" s="44" t="s">
        <v>48</v>
      </c>
      <c r="E38" s="45">
        <f t="shared" si="2"/>
        <v>2976.6</v>
      </c>
      <c r="F38" s="49" t="str">
        <f>ROUNDUP(E38/1000,0)&amp;" × 1kg pack"</f>
        <v>3 × 1kg pack</v>
      </c>
    </row>
    <row r="39" spans="1:6" ht="18" customHeight="1" x14ac:dyDescent="0.25">
      <c r="A39" s="42" t="s">
        <v>68</v>
      </c>
      <c r="B39" s="47" t="s">
        <v>15</v>
      </c>
      <c r="C39" s="48">
        <v>0.151</v>
      </c>
      <c r="D39" s="44" t="s">
        <v>69</v>
      </c>
      <c r="E39" s="45">
        <f t="shared" si="2"/>
        <v>24.914999999999999</v>
      </c>
      <c r="F39" s="49" t="str">
        <f>ROUNDUP(E39/10,0)&amp;" × 10-bag box"</f>
        <v>3 × 10-bag box</v>
      </c>
    </row>
    <row r="40" spans="1:6" ht="18" customHeight="1" x14ac:dyDescent="0.25">
      <c r="A40" s="42" t="s">
        <v>149</v>
      </c>
      <c r="B40" s="47" t="s">
        <v>148</v>
      </c>
      <c r="C40" s="48">
        <v>20.04</v>
      </c>
      <c r="D40" s="44" t="s">
        <v>48</v>
      </c>
      <c r="E40" s="45">
        <f t="shared" si="2"/>
        <v>3306.6</v>
      </c>
      <c r="F40" s="49" t="str">
        <f>ROUNDUP(E40/1000,0)&amp;" × L (use kettle)"</f>
        <v>4 × L (use kettle)</v>
      </c>
    </row>
    <row r="41" spans="1:6" ht="18" customHeight="1" x14ac:dyDescent="0.25"/>
    <row r="42" spans="1:6" ht="18" customHeight="1" x14ac:dyDescent="0.25">
      <c r="A42" s="40" t="s">
        <v>150</v>
      </c>
      <c r="B42" s="40"/>
      <c r="C42" s="40"/>
      <c r="D42" s="40"/>
      <c r="E42" s="40"/>
      <c r="F42" s="40"/>
    </row>
    <row r="43" spans="1:6" ht="18" customHeight="1" x14ac:dyDescent="0.25">
      <c r="A43" s="41" t="s">
        <v>119</v>
      </c>
      <c r="B43" s="41" t="s">
        <v>151</v>
      </c>
      <c r="C43" s="41" t="s">
        <v>152</v>
      </c>
      <c r="D43" s="41" t="s">
        <v>153</v>
      </c>
      <c r="E43" s="41" t="s">
        <v>154</v>
      </c>
      <c r="F43" s="41" t="s">
        <v>155</v>
      </c>
    </row>
    <row r="44" spans="1:6" ht="18" customHeight="1" x14ac:dyDescent="0.25">
      <c r="A44" s="50" t="s">
        <v>15</v>
      </c>
      <c r="B44" s="46" t="s">
        <v>156</v>
      </c>
      <c r="C44" s="46" t="s">
        <v>157</v>
      </c>
      <c r="D44" s="51">
        <f>20*$B$5</f>
        <v>3300</v>
      </c>
      <c r="E44" s="39">
        <f>ROUNDUP(D44/398.7,0)</f>
        <v>9</v>
      </c>
      <c r="F44" s="47" t="s">
        <v>158</v>
      </c>
    </row>
    <row r="45" spans="1:6" ht="18" customHeight="1" x14ac:dyDescent="0.25">
      <c r="A45" s="50" t="s">
        <v>18</v>
      </c>
      <c r="B45" s="46" t="s">
        <v>159</v>
      </c>
      <c r="C45" s="46" t="s">
        <v>160</v>
      </c>
      <c r="D45" s="51">
        <f>16*$B$5</f>
        <v>2640</v>
      </c>
      <c r="E45" s="39">
        <f>ROUNDUP(D45/200,0)</f>
        <v>14</v>
      </c>
      <c r="F45" s="47" t="s">
        <v>161</v>
      </c>
    </row>
    <row r="46" spans="1:6" ht="18" customHeight="1" x14ac:dyDescent="0.25">
      <c r="A46" s="50" t="s">
        <v>87</v>
      </c>
      <c r="B46" s="46" t="s">
        <v>162</v>
      </c>
      <c r="C46" s="46" t="s">
        <v>163</v>
      </c>
      <c r="D46" s="51">
        <f>30*$B$5</f>
        <v>4950</v>
      </c>
      <c r="E46" s="39">
        <f>ROUNDUP(D46/225,0)</f>
        <v>22</v>
      </c>
      <c r="F46" s="47" t="s">
        <v>164</v>
      </c>
    </row>
    <row r="47" spans="1:6" ht="18" customHeight="1" x14ac:dyDescent="0.25">
      <c r="A47" s="50" t="s">
        <v>165</v>
      </c>
      <c r="B47" s="46" t="s">
        <v>166</v>
      </c>
      <c r="C47" s="46" t="s">
        <v>167</v>
      </c>
      <c r="D47" s="51">
        <f>60*$B$5</f>
        <v>9900</v>
      </c>
      <c r="E47" s="39">
        <f>ROUNDUP(D47/240,0)</f>
        <v>42</v>
      </c>
      <c r="F47" s="47" t="s">
        <v>168</v>
      </c>
    </row>
    <row r="48" spans="1:6" ht="18" customHeight="1" x14ac:dyDescent="0.25">
      <c r="A48" s="50" t="s">
        <v>169</v>
      </c>
      <c r="B48" s="46" t="s">
        <v>170</v>
      </c>
      <c r="C48" s="46" t="s">
        <v>171</v>
      </c>
      <c r="D48" s="51">
        <f>5*$B$5</f>
        <v>825</v>
      </c>
      <c r="E48" s="39">
        <f>ROUNDUP(D48/50,0)</f>
        <v>17</v>
      </c>
      <c r="F48" s="47" t="s">
        <v>172</v>
      </c>
    </row>
  </sheetData>
  <mergeCells count="6">
    <mergeCell ref="A42:F42"/>
    <mergeCell ref="A1:F1"/>
    <mergeCell ref="E3:F3"/>
    <mergeCell ref="A7:F7"/>
    <mergeCell ref="A16:F16"/>
    <mergeCell ref="A28:F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Drink Costing</vt:lpstr>
      <vt:lpstr>Ingredient Prices</vt:lpstr>
      <vt:lpstr>Sub-Recipes</vt:lpstr>
      <vt:lpstr>Daily 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Cristopher David</cp:lastModifiedBy>
  <cp:revision>0</cp:revision>
  <dcterms:created xsi:type="dcterms:W3CDTF">2026-05-13T09:28:43Z</dcterms:created>
  <dcterms:modified xsi:type="dcterms:W3CDTF">2026-05-13T09:41:12Z</dcterms:modified>
  <dc:language>en-US</dc:language>
</cp:coreProperties>
</file>