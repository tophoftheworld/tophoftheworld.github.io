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t Leads" sheetId="2" state="visible" r:id="rId4"/>
    <sheet name="All Leads Ranked" sheetId="3" state="visible" r:id="rId5"/>
    <sheet name="Scoring Logic" sheetId="4" state="visible" r:id="rId6"/>
    <sheet name="Raw Data" sheetId="5" state="visible" r:id="rId7"/>
  </sheets>
  <definedNames>
    <definedName function="false" hidden="true" localSheetId="2" name="_xlnm._FilterDatabase" vbProcedure="false">'All Leads Ranked'!$A$1:$Q$122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<sst xmlns="http://schemas.openxmlformats.org/spreadsheetml/2006/main" count="3829" uniqueCount="975">
  <si>
    <t xml:space="preserve">Matchanese MOA — Investor Lead Dashboard</t>
  </si>
  <si>
    <t xml:space="preserve">Generated May 08, 2026 · 121 qualified leads from Meta ad campaign</t>
  </si>
  <si>
    <t xml:space="preserve">Total Leads</t>
  </si>
  <si>
    <t xml:space="preserve">🔥 Hot (Call Today)</t>
  </si>
  <si>
    <t xml:space="preserve">⭐ Warm</t>
  </si>
  <si>
    <t xml:space="preserve">₱3M+ Leads</t>
  </si>
  <si>
    <t xml:space="preserve">F&amp;B Owners</t>
  </si>
  <si>
    <t xml:space="preserve">Avg Score</t>
  </si>
  <si>
    <t xml:space="preserve">Breakdowns</t>
  </si>
  <si>
    <t xml:space="preserve">Priority Tier</t>
  </si>
  <si>
    <t xml:space="preserve">Count</t>
  </si>
  <si>
    <t xml:space="preserve">% of Total</t>
  </si>
  <si>
    <t xml:space="preserve">Investment Range</t>
  </si>
  <si>
    <t xml:space="preserve">Profile Type</t>
  </si>
  <si>
    <t xml:space="preserve">🔥 HOT — Call Today</t>
  </si>
  <si>
    <t xml:space="preserve">₱3,000,000+</t>
  </si>
  <si>
    <t xml:space="preserve">Business owner (F&amp;B)</t>
  </si>
  <si>
    <t xml:space="preserve">⭐ Warm — Call This Week</t>
  </si>
  <si>
    <t xml:space="preserve">₱1,000,000 – ₱3,000,000</t>
  </si>
  <si>
    <t xml:space="preserve">Business owner (Non-F&amp;B)</t>
  </si>
  <si>
    <t xml:space="preserve">📋 Qualified — Email First</t>
  </si>
  <si>
    <t xml:space="preserve">₱500,000 – ₱1,000,000</t>
  </si>
  <si>
    <t xml:space="preserve">Investor</t>
  </si>
  <si>
    <t xml:space="preserve">❄️ Low — Nurture</t>
  </si>
  <si>
    <t xml:space="preserve">Planning to start</t>
  </si>
  <si>
    <t xml:space="preserve">TOTAL</t>
  </si>
  <si>
    <t xml:space="preserve">🚨 Top 15 — Call These FIRST</t>
  </si>
  <si>
    <t xml:space="preserve">Rank</t>
  </si>
  <si>
    <t xml:space="preserve">Name</t>
  </si>
  <si>
    <t xml:space="preserve">Phone</t>
  </si>
  <si>
    <t xml:space="preserve">Email</t>
  </si>
  <si>
    <t xml:space="preserve">Investment</t>
  </si>
  <si>
    <t xml:space="preserve">Profile</t>
  </si>
  <si>
    <t xml:space="preserve">Involvement</t>
  </si>
  <si>
    <t xml:space="preserve">Score</t>
  </si>
  <si>
    <t xml:space="preserve">Why</t>
  </si>
  <si>
    <t xml:space="preserve">Jenny So</t>
  </si>
  <si>
    <t xml:space="preserve">+639175790579</t>
  </si>
  <si>
    <t xml:space="preserve">Jtsohu@gmail.com</t>
  </si>
  <si>
    <t xml:space="preserve">Both (operator + investor)</t>
  </si>
  <si>
    <t xml:space="preserve">₱3M+ budget · wants both roles · F&amp;B owner</t>
  </si>
  <si>
    <t xml:space="preserve">Ernest Vergel de Dios</t>
  </si>
  <si>
    <t xml:space="preserve">+639992264246</t>
  </si>
  <si>
    <t xml:space="preserve">erlvdd@gmail.com</t>
  </si>
  <si>
    <t xml:space="preserve">daynard tan</t>
  </si>
  <si>
    <t xml:space="preserve">+639189080848</t>
  </si>
  <si>
    <t xml:space="preserve">daynardtan@pancocafe.com</t>
  </si>
  <si>
    <t xml:space="preserve">Harry</t>
  </si>
  <si>
    <t xml:space="preserve">+17787983016</t>
  </si>
  <si>
    <t xml:space="preserve">Harp57@protonmail.com</t>
  </si>
  <si>
    <t xml:space="preserve">Gen Antonio</t>
  </si>
  <si>
    <t xml:space="preserve">geninem.antonio@gmail.com</t>
  </si>
  <si>
    <t xml:space="preserve">Jane Asis</t>
  </si>
  <si>
    <t xml:space="preserve">+639279433186</t>
  </si>
  <si>
    <t xml:space="preserve">janedepalco@yahoo.com.ph</t>
  </si>
  <si>
    <t xml:space="preserve">Active operator (hands-on)</t>
  </si>
  <si>
    <t xml:space="preserve">₱3M+ budget · hands-on operator · F&amp;B owner</t>
  </si>
  <si>
    <t xml:space="preserve">Sofia Kamille Tagle</t>
  </si>
  <si>
    <t xml:space="preserve">+639686500117</t>
  </si>
  <si>
    <t xml:space="preserve">sofiakamille888@gmail.com</t>
  </si>
  <si>
    <t xml:space="preserve">₱3M+ budget · wants both roles · investor profile</t>
  </si>
  <si>
    <t xml:space="preserve">Millie de Luna-Daluz</t>
  </si>
  <si>
    <t xml:space="preserve">+639178650824</t>
  </si>
  <si>
    <t xml:space="preserve">millie@aluyan.ph</t>
  </si>
  <si>
    <t xml:space="preserve">₱3M+ budget · hands-on operator · non-F&amp;B owner</t>
  </si>
  <si>
    <t xml:space="preserve">Mark Lopez</t>
  </si>
  <si>
    <t xml:space="preserve">+639178776275</t>
  </si>
  <si>
    <t xml:space="preserve">lopezmarkkelvin@gmail.com</t>
  </si>
  <si>
    <t xml:space="preserve">₱1-3M budget · wants both roles · F&amp;B owner</t>
  </si>
  <si>
    <t xml:space="preserve">Tish Darroca</t>
  </si>
  <si>
    <t xml:space="preserve">+639778069760</t>
  </si>
  <si>
    <t xml:space="preserve">darroca.patricia@gmail.com</t>
  </si>
  <si>
    <t xml:space="preserve">Charles Lee</t>
  </si>
  <si>
    <t xml:space="preserve">+639155304159</t>
  </si>
  <si>
    <t xml:space="preserve">charles.james.lee99@gmail.com</t>
  </si>
  <si>
    <t xml:space="preserve">Clare Alvarez</t>
  </si>
  <si>
    <t xml:space="preserve">+639175988269</t>
  </si>
  <si>
    <t xml:space="preserve">clare.alvarez@guildsec.com</t>
  </si>
  <si>
    <t xml:space="preserve">₱1-3M budget · hands-on operator · F&amp;B owner</t>
  </si>
  <si>
    <t xml:space="preserve">Sheery He</t>
  </si>
  <si>
    <t xml:space="preserve">+639177188658</t>
  </si>
  <si>
    <t xml:space="preserve">sheeryhe.ogci@yahoo.com</t>
  </si>
  <si>
    <t xml:space="preserve">₱1-3M budget · wants both roles · non-F&amp;B owner</t>
  </si>
  <si>
    <t xml:space="preserve">Patricia Darroca</t>
  </si>
  <si>
    <t xml:space="preserve">RV Navia</t>
  </si>
  <si>
    <t xml:space="preserve">unessima@gmail.com</t>
  </si>
  <si>
    <t xml:space="preserve">₱1-3M budget · wants both roles · investor profile</t>
  </si>
  <si>
    <t xml:space="preserve">🔥 Hot Leads — Call Today</t>
  </si>
  <si>
    <t xml:space="preserve">Score ≥ 80. Pitch the full deck, push for soonest meeting.</t>
  </si>
  <si>
    <t xml:space="preserve">Suggested Action</t>
  </si>
  <si>
    <t xml:space="preserve">Call within 24hr; pitch full deck</t>
  </si>
  <si>
    <t xml:space="preserve">Submitted</t>
  </si>
  <si>
    <t xml:space="preserve">Profile pts</t>
  </si>
  <si>
    <t xml:space="preserve">Involvement pts</t>
  </si>
  <si>
    <t xml:space="preserve">Investment pts</t>
  </si>
  <si>
    <t xml:space="preserve">Recency pts</t>
  </si>
  <si>
    <t xml:space="preserve">TOTAL SCORE</t>
  </si>
  <si>
    <t xml:space="preserve">Why this score</t>
  </si>
  <si>
    <t xml:space="preserve">2026-04-28 00:12</t>
  </si>
  <si>
    <t xml:space="preserve">2026-04-26 13:31</t>
  </si>
  <si>
    <t xml:space="preserve">2026-04-26 03:23</t>
  </si>
  <si>
    <t xml:space="preserve">2026-04-25 12:12</t>
  </si>
  <si>
    <t xml:space="preserve">2026-04-24 07:26</t>
  </si>
  <si>
    <t xml:space="preserve">2026-04-26 01:37</t>
  </si>
  <si>
    <t xml:space="preserve">2026-04-25 03:49</t>
  </si>
  <si>
    <t xml:space="preserve">2026-04-25 06:02</t>
  </si>
  <si>
    <t xml:space="preserve">2026-04-26 15:05</t>
  </si>
  <si>
    <t xml:space="preserve">2026-04-25 12:57</t>
  </si>
  <si>
    <t xml:space="preserve">2026-04-24 13:13</t>
  </si>
  <si>
    <t xml:space="preserve">2026-04-28 12:11</t>
  </si>
  <si>
    <t xml:space="preserve">Call this week; qualify investment timeline</t>
  </si>
  <si>
    <t xml:space="preserve">2026-04-25 00:46</t>
  </si>
  <si>
    <t xml:space="preserve">2026-04-23 17:25</t>
  </si>
  <si>
    <t xml:space="preserve">2026-04-23 15:27</t>
  </si>
  <si>
    <t xml:space="preserve">arah jae</t>
  </si>
  <si>
    <t xml:space="preserve">+639171921127</t>
  </si>
  <si>
    <t xml:space="preserve">arahjaemarcelo@gmail.com</t>
  </si>
  <si>
    <t xml:space="preserve">2026-04-29 03:24</t>
  </si>
  <si>
    <t xml:space="preserve">₱1-3M budget · hands-on operator · investor profile</t>
  </si>
  <si>
    <t xml:space="preserve">Dianne Abella</t>
  </si>
  <si>
    <t xml:space="preserve">+639178331491</t>
  </si>
  <si>
    <t xml:space="preserve">dianne.abella@gmail.com</t>
  </si>
  <si>
    <t xml:space="preserve">2026-04-29 02:44</t>
  </si>
  <si>
    <t xml:space="preserve">Planning to start a business</t>
  </si>
  <si>
    <t xml:space="preserve">₱1-3M budget · wants both roles · first-time founder</t>
  </si>
  <si>
    <t xml:space="preserve">RJ Villegas</t>
  </si>
  <si>
    <t xml:space="preserve">+639175830209</t>
  </si>
  <si>
    <t xml:space="preserve">rjsjvillegas@gmail.com</t>
  </si>
  <si>
    <t xml:space="preserve">2026-04-28 16:12</t>
  </si>
  <si>
    <t xml:space="preserve">Investor (capital only)</t>
  </si>
  <si>
    <t xml:space="preserve">₱1-3M budget · capital-only investor · non-F&amp;B owner</t>
  </si>
  <si>
    <t xml:space="preserve">Mariel Gamboa</t>
  </si>
  <si>
    <t xml:space="preserve">+639171231235</t>
  </si>
  <si>
    <t xml:space="preserve">marielgamboa131@gmail.com</t>
  </si>
  <si>
    <t xml:space="preserve">2026-04-27 07:02</t>
  </si>
  <si>
    <t xml:space="preserve">Kel Pascual</t>
  </si>
  <si>
    <t xml:space="preserve">+639175150889</t>
  </si>
  <si>
    <t xml:space="preserve">kelpascual100@gmail.com</t>
  </si>
  <si>
    <t xml:space="preserve">2026-04-27 03:11</t>
  </si>
  <si>
    <t xml:space="preserve">₱500K-1M budget · wants both roles · F&amp;B owner</t>
  </si>
  <si>
    <t xml:space="preserve">Vince Klein</t>
  </si>
  <si>
    <t xml:space="preserve">017673042970</t>
  </si>
  <si>
    <t xml:space="preserve">Kvgio@icloud.com</t>
  </si>
  <si>
    <t xml:space="preserve">2026-04-26 20:41</t>
  </si>
  <si>
    <t xml:space="preserve">Erick</t>
  </si>
  <si>
    <t xml:space="preserve">+639176338553</t>
  </si>
  <si>
    <t xml:space="preserve">erick.dl815@gmail.com</t>
  </si>
  <si>
    <t xml:space="preserve">2026-04-26 20:33</t>
  </si>
  <si>
    <t xml:space="preserve">Nicole Alba</t>
  </si>
  <si>
    <t xml:space="preserve">+639760194972</t>
  </si>
  <si>
    <t xml:space="preserve">alba.nicoleee@gmail.com</t>
  </si>
  <si>
    <t xml:space="preserve">2026-04-26 11:28</t>
  </si>
  <si>
    <t xml:space="preserve">David Mirasol</t>
  </si>
  <si>
    <t xml:space="preserve">639052946188</t>
  </si>
  <si>
    <t xml:space="preserve">david.mirasol01@gmail.com</t>
  </si>
  <si>
    <t xml:space="preserve">2026-04-25 14:46</t>
  </si>
  <si>
    <t xml:space="preserve">Mark Acosta</t>
  </si>
  <si>
    <t xml:space="preserve">+639176236632</t>
  </si>
  <si>
    <t xml:space="preserve">markangelo_acosta@yahoo.com</t>
  </si>
  <si>
    <t xml:space="preserve">2026-04-25 14:15</t>
  </si>
  <si>
    <t xml:space="preserve">Veronika Asis</t>
  </si>
  <si>
    <t xml:space="preserve">+17253039650</t>
  </si>
  <si>
    <t xml:space="preserve">vronimain@gmail.com</t>
  </si>
  <si>
    <t xml:space="preserve">2026-04-24 02:27</t>
  </si>
  <si>
    <t xml:space="preserve">Therese del Rosario</t>
  </si>
  <si>
    <t xml:space="preserve">+639064454370</t>
  </si>
  <si>
    <t xml:space="preserve">theresedelrosario13@gmail.com</t>
  </si>
  <si>
    <t xml:space="preserve">2026-04-23 13:24</t>
  </si>
  <si>
    <t xml:space="preserve">Paula Mae Roldan</t>
  </si>
  <si>
    <t xml:space="preserve">paulamaeyambaoroldan@gmail.com</t>
  </si>
  <si>
    <t xml:space="preserve">2026-04-23 12:36</t>
  </si>
  <si>
    <t xml:space="preserve">Kimber Diaz Cesa</t>
  </si>
  <si>
    <t xml:space="preserve">+639174938493</t>
  </si>
  <si>
    <t xml:space="preserve">kimberdiazcesa@gmail.com</t>
  </si>
  <si>
    <t xml:space="preserve">2026-04-23 12:01</t>
  </si>
  <si>
    <t xml:space="preserve">Tim Marcelo</t>
  </si>
  <si>
    <t xml:space="preserve">+639173094945</t>
  </si>
  <si>
    <t xml:space="preserve">Sylveropc@gmail.com</t>
  </si>
  <si>
    <t xml:space="preserve">2026-04-23 11:32</t>
  </si>
  <si>
    <t xml:space="preserve">Aaron Dela Cruz</t>
  </si>
  <si>
    <t xml:space="preserve">+63639681772</t>
  </si>
  <si>
    <t xml:space="preserve">aaronddc@yahoo.com</t>
  </si>
  <si>
    <t xml:space="preserve">2026-04-23 11:09</t>
  </si>
  <si>
    <t xml:space="preserve">Bruce Wang</t>
  </si>
  <si>
    <t xml:space="preserve">+639776777898</t>
  </si>
  <si>
    <t xml:space="preserve">brucewangback@gmail.com</t>
  </si>
  <si>
    <t xml:space="preserve">2026-04-26 22:58</t>
  </si>
  <si>
    <t xml:space="preserve">₱1-3M budget · capital-only investor · investor profile</t>
  </si>
  <si>
    <t xml:space="preserve">Gigi A. santos</t>
  </si>
  <si>
    <t xml:space="preserve">+639272551548</t>
  </si>
  <si>
    <t xml:space="preserve">angelisasantos@yahoo.com</t>
  </si>
  <si>
    <t xml:space="preserve">2026-04-29 13:26</t>
  </si>
  <si>
    <t xml:space="preserve">₱500K-1M budget · wants both roles · non-F&amp;B owner</t>
  </si>
  <si>
    <t xml:space="preserve">Rainier mozo</t>
  </si>
  <si>
    <t xml:space="preserve">+639178654545</t>
  </si>
  <si>
    <t xml:space="preserve">rainiermozomd@yahoo.com</t>
  </si>
  <si>
    <t xml:space="preserve">2026-04-29 03:39</t>
  </si>
  <si>
    <t xml:space="preserve">Jyle Go Chuahiock</t>
  </si>
  <si>
    <t xml:space="preserve">+639175010022</t>
  </si>
  <si>
    <t xml:space="preserve">gojyle@gmail.com</t>
  </si>
  <si>
    <t xml:space="preserve">2026-04-28 02:34</t>
  </si>
  <si>
    <t xml:space="preserve">₱500K-1M budget · hands-on operator · F&amp;B owner</t>
  </si>
  <si>
    <t xml:space="preserve">Pamela Licup</t>
  </si>
  <si>
    <t xml:space="preserve">09175601868</t>
  </si>
  <si>
    <t xml:space="preserve">Pamrosse.8888@gmail.com</t>
  </si>
  <si>
    <t xml:space="preserve">2026-04-27 04:29</t>
  </si>
  <si>
    <t xml:space="preserve">Chingky Fuentes Sto Tomas</t>
  </si>
  <si>
    <t xml:space="preserve">+639178862867</t>
  </si>
  <si>
    <t xml:space="preserve">vineranza01@gmail.com</t>
  </si>
  <si>
    <t xml:space="preserve">2026-04-26 15:19</t>
  </si>
  <si>
    <t xml:space="preserve">Kristen Tan</t>
  </si>
  <si>
    <t xml:space="preserve">+639178415646</t>
  </si>
  <si>
    <t xml:space="preserve">kcstan@gqwest.com</t>
  </si>
  <si>
    <t xml:space="preserve">2026-04-26 11:05</t>
  </si>
  <si>
    <t xml:space="preserve">Christian Samonte</t>
  </si>
  <si>
    <t xml:space="preserve">+639064376309</t>
  </si>
  <si>
    <t xml:space="preserve">box.christianjs@gmail.com</t>
  </si>
  <si>
    <t xml:space="preserve">2026-04-25 21:03</t>
  </si>
  <si>
    <t xml:space="preserve">Mimi C Ting</t>
  </si>
  <si>
    <t xml:space="preserve">+639175200812</t>
  </si>
  <si>
    <t xml:space="preserve">mr2sports888@yahoo.com</t>
  </si>
  <si>
    <t xml:space="preserve">Danielle Quintos</t>
  </si>
  <si>
    <t xml:space="preserve">+639177280824</t>
  </si>
  <si>
    <t xml:space="preserve">quintosdanielle@gmail.com</t>
  </si>
  <si>
    <t xml:space="preserve">2026-04-25 04:38</t>
  </si>
  <si>
    <t xml:space="preserve">Fnd Lim</t>
  </si>
  <si>
    <t xml:space="preserve">+639175795552</t>
  </si>
  <si>
    <t xml:space="preserve">fendilim@gmail.com</t>
  </si>
  <si>
    <t xml:space="preserve">2026-04-24 15:45</t>
  </si>
  <si>
    <t xml:space="preserve">Shikayna Ramos</t>
  </si>
  <si>
    <t xml:space="preserve">+639178581884</t>
  </si>
  <si>
    <t xml:space="preserve">ramos.shikayna@gmail.com</t>
  </si>
  <si>
    <t xml:space="preserve">2026-04-29 13:12</t>
  </si>
  <si>
    <t xml:space="preserve">₱500K-1M budget · wants both roles · investor profile</t>
  </si>
  <si>
    <t xml:space="preserve">Email intro deck; book screening call</t>
  </si>
  <si>
    <t xml:space="preserve">Hannah Kua</t>
  </si>
  <si>
    <t xml:space="preserve">+639626483451</t>
  </si>
  <si>
    <t xml:space="preserve">hannahkua@gmail.com</t>
  </si>
  <si>
    <t xml:space="preserve">2026-04-28 11:30</t>
  </si>
  <si>
    <t xml:space="preserve">Shaira Rubante</t>
  </si>
  <si>
    <t xml:space="preserve">+639295536740</t>
  </si>
  <si>
    <t xml:space="preserve">shairarubante@gmail.com</t>
  </si>
  <si>
    <t xml:space="preserve">2026-04-27 00:22</t>
  </si>
  <si>
    <t xml:space="preserve">Krizia Camille Ty-Ong</t>
  </si>
  <si>
    <t xml:space="preserve">+639178378448</t>
  </si>
  <si>
    <t xml:space="preserve">kriziaty@yahoo.com</t>
  </si>
  <si>
    <t xml:space="preserve">2026-04-26 14:17</t>
  </si>
  <si>
    <t xml:space="preserve">Jewel Bretaña</t>
  </si>
  <si>
    <t xml:space="preserve">+639088940131</t>
  </si>
  <si>
    <t xml:space="preserve">jewelbretana@gmail.com</t>
  </si>
  <si>
    <t xml:space="preserve">2026-04-26 09:02</t>
  </si>
  <si>
    <t xml:space="preserve">Diana Camacho</t>
  </si>
  <si>
    <t xml:space="preserve">+639778161245</t>
  </si>
  <si>
    <t xml:space="preserve">dianecamacho@gmail.com</t>
  </si>
  <si>
    <t xml:space="preserve">2026-04-26 08:42</t>
  </si>
  <si>
    <t xml:space="preserve">Kaye Ignacio</t>
  </si>
  <si>
    <t xml:space="preserve">+639989770102</t>
  </si>
  <si>
    <t xml:space="preserve">ignaciokayecharity@gmail.com</t>
  </si>
  <si>
    <t xml:space="preserve">2026-04-26 02:48</t>
  </si>
  <si>
    <t xml:space="preserve">Eche Juliano</t>
  </si>
  <si>
    <t xml:space="preserve">+639951474275</t>
  </si>
  <si>
    <t xml:space="preserve">rasjulianodmd@gmail.com</t>
  </si>
  <si>
    <t xml:space="preserve">2026-04-25 10:33</t>
  </si>
  <si>
    <t xml:space="preserve">Vic Bryan Valenzuela</t>
  </si>
  <si>
    <t xml:space="preserve">+639989696869</t>
  </si>
  <si>
    <t xml:space="preserve">valenzuela.bryan@gmail.com</t>
  </si>
  <si>
    <t xml:space="preserve">2026-04-24 09:57</t>
  </si>
  <si>
    <t xml:space="preserve">Christine Keh - Te</t>
  </si>
  <si>
    <t xml:space="preserve">+639473372612</t>
  </si>
  <si>
    <t xml:space="preserve">Christinekehte@gmail.com</t>
  </si>
  <si>
    <t xml:space="preserve">2026-04-24 09:07</t>
  </si>
  <si>
    <t xml:space="preserve">Bea Coseip</t>
  </si>
  <si>
    <t xml:space="preserve">+639361202723</t>
  </si>
  <si>
    <t xml:space="preserve">Krishelle.coseip@gmail.com</t>
  </si>
  <si>
    <t xml:space="preserve">2026-04-24 07:43</t>
  </si>
  <si>
    <t xml:space="preserve">FENDI</t>
  </si>
  <si>
    <t xml:space="preserve">snubs_daub_0d@icloud.com</t>
  </si>
  <si>
    <t xml:space="preserve">2026-04-23 23:35</t>
  </si>
  <si>
    <t xml:space="preserve">+639175601868</t>
  </si>
  <si>
    <t xml:space="preserve">pamrosse.licup@gmail.com</t>
  </si>
  <si>
    <t xml:space="preserve">2026-04-23 15:31</t>
  </si>
  <si>
    <t xml:space="preserve">Valentin mendoza jr</t>
  </si>
  <si>
    <t xml:space="preserve">valentin.mendozajr92@gmail.com</t>
  </si>
  <si>
    <t xml:space="preserve">2026-04-23 13:29</t>
  </si>
  <si>
    <t xml:space="preserve">Steffi Villar</t>
  </si>
  <si>
    <t xml:space="preserve">+639174799888</t>
  </si>
  <si>
    <t xml:space="preserve">villarsteffi@gmail.com</t>
  </si>
  <si>
    <t xml:space="preserve">2026-04-23 12:31</t>
  </si>
  <si>
    <t xml:space="preserve">Rachelle Rabino Corpuz</t>
  </si>
  <si>
    <t xml:space="preserve">+639294905486</t>
  </si>
  <si>
    <t xml:space="preserve">rmgrabino@yahoo.com.ph</t>
  </si>
  <si>
    <t xml:space="preserve">2026-04-23 11:45</t>
  </si>
  <si>
    <t xml:space="preserve">Luis Anthony Dela Cruz</t>
  </si>
  <si>
    <t xml:space="preserve">+639498858345</t>
  </si>
  <si>
    <t xml:space="preserve">luisanthonydelacruz@gmail.com</t>
  </si>
  <si>
    <t xml:space="preserve">2026-04-28 00:17</t>
  </si>
  <si>
    <t xml:space="preserve">₱1-3M budget · capital-only investor · first-time founder</t>
  </si>
  <si>
    <t xml:space="preserve">Micah Lacap Kasilag</t>
  </si>
  <si>
    <t xml:space="preserve">+639178156713</t>
  </si>
  <si>
    <t xml:space="preserve">micahlacapkasilag@gmail.com</t>
  </si>
  <si>
    <t xml:space="preserve">2026-04-26 14:54</t>
  </si>
  <si>
    <t xml:space="preserve">₱500K-1M budget · hands-on operator · non-F&amp;B owner</t>
  </si>
  <si>
    <t xml:space="preserve">Ryan Jayson Chua</t>
  </si>
  <si>
    <t xml:space="preserve">+639989977150</t>
  </si>
  <si>
    <t xml:space="preserve">ryjaysonchua@yahoo.com</t>
  </si>
  <si>
    <t xml:space="preserve">2026-04-26 13:11</t>
  </si>
  <si>
    <t xml:space="preserve">Luisa F Estanislao Eastlaw</t>
  </si>
  <si>
    <t xml:space="preserve">+639173062068</t>
  </si>
  <si>
    <t xml:space="preserve">luisaeastlaw@gmail.com</t>
  </si>
  <si>
    <t xml:space="preserve">2026-04-26 13:09</t>
  </si>
  <si>
    <t xml:space="preserve">₱500K-1M budget · capital-only investor · F&amp;B owner</t>
  </si>
  <si>
    <t xml:space="preserve">Ravi Amarnani</t>
  </si>
  <si>
    <t xml:space="preserve">+639173007284</t>
  </si>
  <si>
    <t xml:space="preserve">Mr.amarnani@yahoo.com</t>
  </si>
  <si>
    <t xml:space="preserve">2026-04-25 02:09</t>
  </si>
  <si>
    <t xml:space="preserve">Janine Gesalem</t>
  </si>
  <si>
    <t xml:space="preserve">+639177077817</t>
  </si>
  <si>
    <t xml:space="preserve">janine.gesalem@gmail.com</t>
  </si>
  <si>
    <t xml:space="preserve">2026-04-24 16:06</t>
  </si>
  <si>
    <t xml:space="preserve">Dar Chua-Lim</t>
  </si>
  <si>
    <t xml:space="preserve">+639175261230</t>
  </si>
  <si>
    <t xml:space="preserve">darchua.lim@gmail.com</t>
  </si>
  <si>
    <t xml:space="preserve">2026-04-24 14:25</t>
  </si>
  <si>
    <t xml:space="preserve">Marlon Ng</t>
  </si>
  <si>
    <t xml:space="preserve">+639175202792</t>
  </si>
  <si>
    <t xml:space="preserve">guikaye@gmail.com</t>
  </si>
  <si>
    <t xml:space="preserve">2026-04-24 12:42</t>
  </si>
  <si>
    <t xml:space="preserve">Venice Barrios</t>
  </si>
  <si>
    <t xml:space="preserve">+639563375538</t>
  </si>
  <si>
    <t xml:space="preserve">veniceachurra@yahoo.com</t>
  </si>
  <si>
    <t xml:space="preserve">Lanz castillo</t>
  </si>
  <si>
    <t xml:space="preserve">+639175524333</t>
  </si>
  <si>
    <t xml:space="preserve">lanzthedog@gmail.com</t>
  </si>
  <si>
    <t xml:space="preserve">2026-04-23 09:28</t>
  </si>
  <si>
    <t xml:space="preserve">Christine Dy-Chua</t>
  </si>
  <si>
    <t xml:space="preserve">+639172513332</t>
  </si>
  <si>
    <t xml:space="preserve">christineeunicedy@gmail.com</t>
  </si>
  <si>
    <t xml:space="preserve">2026-04-23 08:43</t>
  </si>
  <si>
    <t xml:space="preserve">Yves Nacpil</t>
  </si>
  <si>
    <t xml:space="preserve">+639178953031</t>
  </si>
  <si>
    <t xml:space="preserve">yvesnacpil@gmail.com</t>
  </si>
  <si>
    <t xml:space="preserve">2026-04-26 04:24</t>
  </si>
  <si>
    <t xml:space="preserve">₱500K-1M budget · hands-on operator · investor profile</t>
  </si>
  <si>
    <t xml:space="preserve">Agatha Wont</t>
  </si>
  <si>
    <t xml:space="preserve">+639178441995</t>
  </si>
  <si>
    <t xml:space="preserve">agathawongy@gmail.com</t>
  </si>
  <si>
    <t xml:space="preserve">2026-04-25 00:29</t>
  </si>
  <si>
    <t xml:space="preserve">Xavier</t>
  </si>
  <si>
    <t xml:space="preserve">+639451409530</t>
  </si>
  <si>
    <t xml:space="preserve">brocatan@gmail.com</t>
  </si>
  <si>
    <t xml:space="preserve">2026-04-28 16:32</t>
  </si>
  <si>
    <t xml:space="preserve">₱500K-1M budget · wants both roles · first-time founder</t>
  </si>
  <si>
    <t xml:space="preserve">Cian Cosep</t>
  </si>
  <si>
    <t xml:space="preserve">+639988863962</t>
  </si>
  <si>
    <t xml:space="preserve">ciancosep@gmail.com</t>
  </si>
  <si>
    <t xml:space="preserve">2026-04-28 16:02</t>
  </si>
  <si>
    <t xml:space="preserve">Liza Tan Arrobio</t>
  </si>
  <si>
    <t xml:space="preserve">+639171601019</t>
  </si>
  <si>
    <t xml:space="preserve">lizatan04@gmail.com</t>
  </si>
  <si>
    <t xml:space="preserve">2026-04-28 14:16</t>
  </si>
  <si>
    <t xml:space="preserve">Sarah Mae Callao Matillano</t>
  </si>
  <si>
    <t xml:space="preserve">+639171877021</t>
  </si>
  <si>
    <t xml:space="preserve">raracmatillano@icloud.com</t>
  </si>
  <si>
    <t xml:space="preserve">2026-04-28 13:03</t>
  </si>
  <si>
    <t xml:space="preserve">Cricel Danao</t>
  </si>
  <si>
    <t xml:space="preserve">+639288765414</t>
  </si>
  <si>
    <t xml:space="preserve">mcriceldanao@gmail.com</t>
  </si>
  <si>
    <t xml:space="preserve">2026-04-28 12:32</t>
  </si>
  <si>
    <t xml:space="preserve">Joyce Anne Co</t>
  </si>
  <si>
    <t xml:space="preserve">+639275809271</t>
  </si>
  <si>
    <t xml:space="preserve">jaco8382015@gmail.com</t>
  </si>
  <si>
    <t xml:space="preserve">2026-04-27 23:52</t>
  </si>
  <si>
    <t xml:space="preserve">Mari</t>
  </si>
  <si>
    <t xml:space="preserve">09176666642</t>
  </si>
  <si>
    <t xml:space="preserve">fencingmari@gmail.com</t>
  </si>
  <si>
    <t xml:space="preserve">2026-04-27 08:17</t>
  </si>
  <si>
    <t xml:space="preserve">Kelvin</t>
  </si>
  <si>
    <t xml:space="preserve">+639332000455</t>
  </si>
  <si>
    <t xml:space="preserve">lordlisaking@gmail.com</t>
  </si>
  <si>
    <t xml:space="preserve">2026-04-27 03:01</t>
  </si>
  <si>
    <t xml:space="preserve">Nikki</t>
  </si>
  <si>
    <t xml:space="preserve">+639985398329</t>
  </si>
  <si>
    <t xml:space="preserve">relampagosnikki@gmail.com</t>
  </si>
  <si>
    <t xml:space="preserve">2026-04-26 14:38</t>
  </si>
  <si>
    <t xml:space="preserve">Michelle Manalo</t>
  </si>
  <si>
    <t xml:space="preserve">+69612757469</t>
  </si>
  <si>
    <t xml:space="preserve">manalomichelle15@gmail.com</t>
  </si>
  <si>
    <t xml:space="preserve">2026-04-26 09:50</t>
  </si>
  <si>
    <t xml:space="preserve">Pamela Mae Ramirez</t>
  </si>
  <si>
    <t xml:space="preserve">+639979609570</t>
  </si>
  <si>
    <t xml:space="preserve">workwithpamram@gmail.com</t>
  </si>
  <si>
    <t xml:space="preserve">2026-04-25 19:26</t>
  </si>
  <si>
    <t xml:space="preserve">Agniezska Ilyse Ng</t>
  </si>
  <si>
    <t xml:space="preserve">+639178103572</t>
  </si>
  <si>
    <t xml:space="preserve">chezska.ng@gmail.com</t>
  </si>
  <si>
    <t xml:space="preserve">2026-04-25 14:19</t>
  </si>
  <si>
    <t xml:space="preserve">₱500K-1M budget · capital-only investor · non-F&amp;B owner</t>
  </si>
  <si>
    <t xml:space="preserve">Trisha Azucena</t>
  </si>
  <si>
    <t xml:space="preserve">+639285201809</t>
  </si>
  <si>
    <t xml:space="preserve">trishaclaudette83@gmail.com</t>
  </si>
  <si>
    <t xml:space="preserve">2026-04-25 13:20</t>
  </si>
  <si>
    <t xml:space="preserve">Benedict Dytoc</t>
  </si>
  <si>
    <t xml:space="preserve">+639175751002</t>
  </si>
  <si>
    <t xml:space="preserve">benedictdytoc12@gmail.com</t>
  </si>
  <si>
    <t xml:space="preserve">2026-04-25 12:23</t>
  </si>
  <si>
    <t xml:space="preserve">Tin Peza</t>
  </si>
  <si>
    <t xml:space="preserve">+639763093610</t>
  </si>
  <si>
    <t xml:space="preserve">tinpeza@gmail.com</t>
  </si>
  <si>
    <t xml:space="preserve">2026-04-25 08:15</t>
  </si>
  <si>
    <t xml:space="preserve">Michaella Mitra</t>
  </si>
  <si>
    <t xml:space="preserve">+639777173213</t>
  </si>
  <si>
    <t xml:space="preserve">m.mitra@palayu.org</t>
  </si>
  <si>
    <t xml:space="preserve">2026-04-25 07:23</t>
  </si>
  <si>
    <t xml:space="preserve">Riziell Ramos</t>
  </si>
  <si>
    <t xml:space="preserve">+639175229644</t>
  </si>
  <si>
    <t xml:space="preserve">riziellm@yahoo.com</t>
  </si>
  <si>
    <t xml:space="preserve">2026-04-24 07:58</t>
  </si>
  <si>
    <t xml:space="preserve">Cheryl Sy</t>
  </si>
  <si>
    <t xml:space="preserve">+639177936797</t>
  </si>
  <si>
    <t xml:space="preserve">cherylsy.mirea@gmail.com</t>
  </si>
  <si>
    <t xml:space="preserve">2026-04-24 01:27</t>
  </si>
  <si>
    <t xml:space="preserve">Jen es</t>
  </si>
  <si>
    <t xml:space="preserve">+639175728289</t>
  </si>
  <si>
    <t xml:space="preserve">jre_09@yahoo.com</t>
  </si>
  <si>
    <t xml:space="preserve">2026-04-24 00:37</t>
  </si>
  <si>
    <t xml:space="preserve">Chris Tan</t>
  </si>
  <si>
    <t xml:space="preserve">+639328769564</t>
  </si>
  <si>
    <t xml:space="preserve">migraine45b2b@gmail.com</t>
  </si>
  <si>
    <t xml:space="preserve">2026-04-24 00:21</t>
  </si>
  <si>
    <t xml:space="preserve">Justine Nicole Borbe</t>
  </si>
  <si>
    <t xml:space="preserve">+639398461039</t>
  </si>
  <si>
    <t xml:space="preserve">justinesepherene@gmail.com</t>
  </si>
  <si>
    <t xml:space="preserve">2026-04-23 12:15</t>
  </si>
  <si>
    <t xml:space="preserve">Camille</t>
  </si>
  <si>
    <t xml:space="preserve">09175523547</t>
  </si>
  <si>
    <t xml:space="preserve">celiscamillepatricia@gmail.com</t>
  </si>
  <si>
    <t xml:space="preserve">2026-04-29 10:44</t>
  </si>
  <si>
    <t xml:space="preserve">₱500K-1M budget · capital-only investor · investor profile</t>
  </si>
  <si>
    <t xml:space="preserve">Andie B</t>
  </si>
  <si>
    <t xml:space="preserve">+639178722345</t>
  </si>
  <si>
    <t xml:space="preserve">andieb.work@gmail.com</t>
  </si>
  <si>
    <t xml:space="preserve">2026-04-28 10:26</t>
  </si>
  <si>
    <t xml:space="preserve">Thesa</t>
  </si>
  <si>
    <t xml:space="preserve">+639176300542</t>
  </si>
  <si>
    <t xml:space="preserve">thesa.castrojas@gmail.com</t>
  </si>
  <si>
    <t xml:space="preserve">2026-04-28 07:50</t>
  </si>
  <si>
    <t xml:space="preserve">Enzoitgoes</t>
  </si>
  <si>
    <t xml:space="preserve">+639189511058</t>
  </si>
  <si>
    <t xml:space="preserve">marcos.enzo@gmail.com</t>
  </si>
  <si>
    <t xml:space="preserve">2026-04-28 04:46</t>
  </si>
  <si>
    <t xml:space="preserve">Andre Villamil</t>
  </si>
  <si>
    <t xml:space="preserve">+639177908974</t>
  </si>
  <si>
    <t xml:space="preserve">andrelordofdota@gmail.com</t>
  </si>
  <si>
    <t xml:space="preserve">2026-04-28 03:02</t>
  </si>
  <si>
    <t xml:space="preserve">kirby</t>
  </si>
  <si>
    <t xml:space="preserve">+639177167118</t>
  </si>
  <si>
    <t xml:space="preserve">kirby.ragodon@gmail.com</t>
  </si>
  <si>
    <t xml:space="preserve">2026-04-27 17:55</t>
  </si>
  <si>
    <t xml:space="preserve">David Joshua Duque</t>
  </si>
  <si>
    <t xml:space="preserve">+639688866860</t>
  </si>
  <si>
    <t xml:space="preserve">djduque08@gmail.com</t>
  </si>
  <si>
    <t xml:space="preserve">2026-04-27 17:36</t>
  </si>
  <si>
    <t xml:space="preserve">Anna Villanoza-Lim</t>
  </si>
  <si>
    <t xml:space="preserve">+639173216632</t>
  </si>
  <si>
    <t xml:space="preserve">anna.villanoza@gmail.com</t>
  </si>
  <si>
    <t xml:space="preserve">2026-04-27 12:46</t>
  </si>
  <si>
    <t xml:space="preserve">Paulene</t>
  </si>
  <si>
    <t xml:space="preserve">+639152880803</t>
  </si>
  <si>
    <t xml:space="preserve">paulenedavid@gmail.com</t>
  </si>
  <si>
    <t xml:space="preserve">2026-04-27 10:26</t>
  </si>
  <si>
    <t xml:space="preserve">Mica</t>
  </si>
  <si>
    <t xml:space="preserve">+639209176148</t>
  </si>
  <si>
    <t xml:space="preserve">dacayocamilleang@gmail.com</t>
  </si>
  <si>
    <t xml:space="preserve">2026-04-27 06:16</t>
  </si>
  <si>
    <t xml:space="preserve">Steph Suntay</t>
  </si>
  <si>
    <t xml:space="preserve">+639175212662</t>
  </si>
  <si>
    <t xml:space="preserve">stephsuntay@gmail.com</t>
  </si>
  <si>
    <t xml:space="preserve">2026-04-27 05:08</t>
  </si>
  <si>
    <t xml:space="preserve">June Chua</t>
  </si>
  <si>
    <t xml:space="preserve">junechua17@yahoo.com</t>
  </si>
  <si>
    <t xml:space="preserve">2026-04-27 02:06</t>
  </si>
  <si>
    <t xml:space="preserve">Maria Alyssa Ochoa</t>
  </si>
  <si>
    <t xml:space="preserve">+639278065790</t>
  </si>
  <si>
    <t xml:space="preserve">ochoa.alyssa@gmail.com</t>
  </si>
  <si>
    <t xml:space="preserve">2026-04-25 03:00</t>
  </si>
  <si>
    <t xml:space="preserve">Joanna Marquez</t>
  </si>
  <si>
    <t xml:space="preserve">misc.jmm@gmail.com</t>
  </si>
  <si>
    <t xml:space="preserve">2026-04-24 15:50</t>
  </si>
  <si>
    <t xml:space="preserve">Mint Marquez</t>
  </si>
  <si>
    <t xml:space="preserve">mintmarq@gmail.com</t>
  </si>
  <si>
    <t xml:space="preserve">2026-04-24 09:55</t>
  </si>
  <si>
    <t xml:space="preserve">Mika Arroyo</t>
  </si>
  <si>
    <t xml:space="preserve">+639628526454</t>
  </si>
  <si>
    <t xml:space="preserve">mikaelagarroyo@gmail.com</t>
  </si>
  <si>
    <t xml:space="preserve">2026-04-23 12:42</t>
  </si>
  <si>
    <t xml:space="preserve">JensineYe</t>
  </si>
  <si>
    <t xml:space="preserve">+639369517502</t>
  </si>
  <si>
    <t xml:space="preserve">jensine007@gmail.com</t>
  </si>
  <si>
    <t xml:space="preserve">2026-04-28 14:28</t>
  </si>
  <si>
    <t xml:space="preserve">₱500K-1M budget · hands-on operator · first-time founder</t>
  </si>
  <si>
    <t xml:space="preserve">Bianca Patriza</t>
  </si>
  <si>
    <t xml:space="preserve">+639279004482</t>
  </si>
  <si>
    <t xml:space="preserve">thunk-doodler-1n@icloud.com</t>
  </si>
  <si>
    <t xml:space="preserve">2026-04-28 05:33</t>
  </si>
  <si>
    <t xml:space="preserve">Lesley Ann</t>
  </si>
  <si>
    <t xml:space="preserve">+639260324868</t>
  </si>
  <si>
    <t xml:space="preserve">lesley_927@yahoo.com</t>
  </si>
  <si>
    <t xml:space="preserve">2026-04-26 02:26</t>
  </si>
  <si>
    <t xml:space="preserve">Joshua Gellido</t>
  </si>
  <si>
    <t xml:space="preserve">+639175037130</t>
  </si>
  <si>
    <t xml:space="preserve">joshhgellido@yahoo.com</t>
  </si>
  <si>
    <t xml:space="preserve">2026-04-23 10:01</t>
  </si>
  <si>
    <t xml:space="preserve">Emman</t>
  </si>
  <si>
    <t xml:space="preserve">09162732212</t>
  </si>
  <si>
    <t xml:space="preserve">backpackerph155@gmail.com</t>
  </si>
  <si>
    <t xml:space="preserve">2026-04-23 09:30</t>
  </si>
  <si>
    <t xml:space="preserve">Ethel Uy</t>
  </si>
  <si>
    <t xml:space="preserve">+639175899821</t>
  </si>
  <si>
    <t xml:space="preserve">ekdmerioles@yahoo.com</t>
  </si>
  <si>
    <t xml:space="preserve">2026-04-28 17:08</t>
  </si>
  <si>
    <t xml:space="preserve">₱500K-1M budget · capital-only investor · first-time founder</t>
  </si>
  <si>
    <t xml:space="preserve">Louice Lu</t>
  </si>
  <si>
    <t xml:space="preserve">+639175059038</t>
  </si>
  <si>
    <t xml:space="preserve">louicedominiquelu@gmail.com</t>
  </si>
  <si>
    <t xml:space="preserve">2026-04-28 05:53</t>
  </si>
  <si>
    <t xml:space="preserve">Ken</t>
  </si>
  <si>
    <t xml:space="preserve">09178550861</t>
  </si>
  <si>
    <t xml:space="preserve">Kenn.valderrama@gmail.com</t>
  </si>
  <si>
    <t xml:space="preserve">2026-04-27 14:01</t>
  </si>
  <si>
    <t xml:space="preserve">Karina Sy</t>
  </si>
  <si>
    <t xml:space="preserve">karinanicolesyy@gmail.com</t>
  </si>
  <si>
    <t xml:space="preserve">2026-04-26 15:41</t>
  </si>
  <si>
    <t xml:space="preserve">Kathleen Janda</t>
  </si>
  <si>
    <t xml:space="preserve">+639171845483</t>
  </si>
  <si>
    <t xml:space="preserve">akathleenjanda@gmail.com</t>
  </si>
  <si>
    <t xml:space="preserve">2026-04-26 03:32</t>
  </si>
  <si>
    <t xml:space="preserve">Lorraine Lora Ngan</t>
  </si>
  <si>
    <t xml:space="preserve">+639171757775</t>
  </si>
  <si>
    <t xml:space="preserve">lorraine.l1204@gmail.com</t>
  </si>
  <si>
    <t xml:space="preserve">2026-04-25 10:08</t>
  </si>
  <si>
    <t xml:space="preserve">Zarah Lynn Mariscal</t>
  </si>
  <si>
    <t xml:space="preserve">+639178211305</t>
  </si>
  <si>
    <t xml:space="preserve">zarahl.mariscal@gmail.com</t>
  </si>
  <si>
    <t xml:space="preserve">2026-04-24 06:38</t>
  </si>
  <si>
    <t xml:space="preserve">Jan Dizon</t>
  </si>
  <si>
    <t xml:space="preserve">+639171433226</t>
  </si>
  <si>
    <t xml:space="preserve">jvcld26@gmail.com</t>
  </si>
  <si>
    <t xml:space="preserve">2026-04-23 16:51</t>
  </si>
  <si>
    <t xml:space="preserve">How leads are scored</t>
  </si>
  <si>
    <t xml:space="preserve">Designed for urgency: serious + aligned + fast money release. Edit point values here to re-rank.</t>
  </si>
  <si>
    <t xml:space="preserve">💰 Investment Range (max 40 pts) — biggest weight: ability to release capital fast</t>
  </si>
  <si>
    <t xml:space="preserve">Bucket</t>
  </si>
  <si>
    <t xml:space="preserve">Points / Threshold</t>
  </si>
  <si>
    <t xml:space="preserve">🤝 Involvement Type (max 30 pts) — operator-investors close fastest</t>
  </si>
  <si>
    <t xml:space="preserve">👤 Profile Fit (max 20 pts) — F&amp;B owners need least education</t>
  </si>
  <si>
    <t xml:space="preserve">⏱️ Recency (max 10 pts) — fresh leads convert better</t>
  </si>
  <si>
    <t xml:space="preserve">Last 3 days</t>
  </si>
  <si>
    <t xml:space="preserve">Last 7 days</t>
  </si>
  <si>
    <t xml:space="preserve">Last 14 days</t>
  </si>
  <si>
    <t xml:space="preserve">Older</t>
  </si>
  <si>
    <t xml:space="preserve">🏷️ Priority Tiers</t>
  </si>
  <si>
    <t xml:space="preserve">≥ 80</t>
  </si>
  <si>
    <t xml:space="preserve">60 – 79</t>
  </si>
  <si>
    <t xml:space="preserve">40 – 59</t>
  </si>
  <si>
    <t xml:space="preserve">&lt; 40</t>
  </si>
  <si>
    <t xml:space="preserve">id</t>
  </si>
  <si>
    <t xml:space="preserve">created_time</t>
  </si>
  <si>
    <t xml:space="preserve">ad_id</t>
  </si>
  <si>
    <t xml:space="preserve">ad_name</t>
  </si>
  <si>
    <t xml:space="preserve">adset_id</t>
  </si>
  <si>
    <t xml:space="preserve">adset_name</t>
  </si>
  <si>
    <t xml:space="preserve">campaign_id</t>
  </si>
  <si>
    <t xml:space="preserve">campaign_name</t>
  </si>
  <si>
    <t xml:space="preserve">form_id</t>
  </si>
  <si>
    <t xml:space="preserve">form_name</t>
  </si>
  <si>
    <t xml:space="preserve">is_organic</t>
  </si>
  <si>
    <t xml:space="preserve">platform</t>
  </si>
  <si>
    <t xml:space="preserve">what_best_describes_you?</t>
  </si>
  <si>
    <t xml:space="preserve">what_is_your_level_of_involvement_for_this_opportunity?</t>
  </si>
  <si>
    <t xml:space="preserve">what_is_your_estimated_investment_range?</t>
  </si>
  <si>
    <t xml:space="preserve">email</t>
  </si>
  <si>
    <t xml:space="preserve">full_name</t>
  </si>
  <si>
    <t xml:space="preserve">phone</t>
  </si>
  <si>
    <t xml:space="preserve">lead_status</t>
  </si>
  <si>
    <t xml:space="preserve">l:1892255954812753</t>
  </si>
  <si>
    <t xml:space="preserve">2026-04-21T06:09:25-05:00</t>
  </si>
  <si>
    <t xml:space="preserve">f:1702622264247163</t>
  </si>
  <si>
    <t xml:space="preserve">MOA Partner Application</t>
  </si>
  <si>
    <t xml:space="preserve">True</t>
  </si>
  <si>
    <t xml:space="preserve">&lt;test lead: dummy data for what_best_describes_you?&gt;</t>
  </si>
  <si>
    <t xml:space="preserve">&lt;test lead: dummy data for what_is_your_level_of_involvement_for_this_opportunity?&gt;</t>
  </si>
  <si>
    <t xml:space="preserve">&lt;test lead: dummy data for what_is_your_estimated_investment_range?&gt;</t>
  </si>
  <si>
    <t xml:space="preserve">test@meta.com</t>
  </si>
  <si>
    <t xml:space="preserve">&lt;test lead: dummy data for full_name&gt;</t>
  </si>
  <si>
    <t xml:space="preserve">p:&lt;test lead: dummy data for phone&gt;</t>
  </si>
  <si>
    <t xml:space="preserve">CONTACTED</t>
  </si>
  <si>
    <t xml:space="preserve">l:990896806942192</t>
  </si>
  <si>
    <t xml:space="preserve">2026-04-23T03:43:05-05:00</t>
  </si>
  <si>
    <t xml:space="preserve">ag:120242606318310575</t>
  </si>
  <si>
    <t xml:space="preserve">Image Ad | MOA Flagship Partner</t>
  </si>
  <si>
    <t xml:space="preserve">as:120242606318320575</t>
  </si>
  <si>
    <t xml:space="preserve">Cold | Entrepreneurs (SMB/Startup)</t>
  </si>
  <si>
    <t xml:space="preserve">c:120242539768020575</t>
  </si>
  <si>
    <t xml:space="preserve">MOA Partner Opportunity | Leads</t>
  </si>
  <si>
    <t xml:space="preserve">False</t>
  </si>
  <si>
    <t xml:space="preserve">fb</t>
  </si>
  <si>
    <t xml:space="preserve">business_owner_(f&amp;b)</t>
  </si>
  <si>
    <t xml:space="preserve">investor_(capital_only)</t>
  </si>
  <si>
    <t xml:space="preserve">₱500,000_–_₱1,000,000</t>
  </si>
  <si>
    <t xml:space="preserve">p:+639172513332</t>
  </si>
  <si>
    <t xml:space="preserve">CREATED</t>
  </si>
  <si>
    <t xml:space="preserve">l:1721673092527397</t>
  </si>
  <si>
    <t xml:space="preserve">2026-04-23T04:28:15-05:00</t>
  </si>
  <si>
    <t xml:space="preserve">p:+639175524333</t>
  </si>
  <si>
    <t xml:space="preserve">l:1705358400477101</t>
  </si>
  <si>
    <t xml:space="preserve">2026-04-23T04:30:52-05:00</t>
  </si>
  <si>
    <t xml:space="preserve">ag:120242539768010575</t>
  </si>
  <si>
    <t xml:space="preserve">as:120242539768220575</t>
  </si>
  <si>
    <t xml:space="preserve">Cold | F&amp;B Owners (Cafe/Restaurant)</t>
  </si>
  <si>
    <t xml:space="preserve">ig</t>
  </si>
  <si>
    <t xml:space="preserve">investor</t>
  </si>
  <si>
    <t xml:space="preserve">p:09162732212</t>
  </si>
  <si>
    <t xml:space="preserve">l:2032687467315097</t>
  </si>
  <si>
    <t xml:space="preserve">2026-04-23T05:01:48-05:00</t>
  </si>
  <si>
    <t xml:space="preserve">p:+639175037130</t>
  </si>
  <si>
    <t xml:space="preserve">l:1465519458400108</t>
  </si>
  <si>
    <t xml:space="preserve">2026-04-23T06:09:03-05:00</t>
  </si>
  <si>
    <t xml:space="preserve">both_(operator_+_investor)</t>
  </si>
  <si>
    <t xml:space="preserve">p:+63639681772</t>
  </si>
  <si>
    <t xml:space="preserve">l:2092542861594648</t>
  </si>
  <si>
    <t xml:space="preserve">2026-04-23T06:32:59-05:00</t>
  </si>
  <si>
    <t xml:space="preserve">ag:120242606318300575</t>
  </si>
  <si>
    <t xml:space="preserve">as:120242606318290575</t>
  </si>
  <si>
    <t xml:space="preserve">Cold | Investors (Angel/Capital)</t>
  </si>
  <si>
    <t xml:space="preserve">p:+639173094945</t>
  </si>
  <si>
    <t xml:space="preserve">l:949346297806547</t>
  </si>
  <si>
    <t xml:space="preserve">2026-04-23T06:45:06-05:00</t>
  </si>
  <si>
    <t xml:space="preserve">p:+639294905486</t>
  </si>
  <si>
    <t xml:space="preserve">l:26581650814790765</t>
  </si>
  <si>
    <t xml:space="preserve">2026-04-23T07:01:05-05:00</t>
  </si>
  <si>
    <t xml:space="preserve">planning_to_start_a_business</t>
  </si>
  <si>
    <t xml:space="preserve">₱1,000,000_–_₱3,000,000</t>
  </si>
  <si>
    <t xml:space="preserve">p:+639174938493</t>
  </si>
  <si>
    <t xml:space="preserve">l:2775420789487825</t>
  </si>
  <si>
    <t xml:space="preserve">2026-04-23T07:01:54-05:00</t>
  </si>
  <si>
    <t xml:space="preserve">business_owner_(non-f&amp;b)</t>
  </si>
  <si>
    <t xml:space="preserve">active_operator_(hands-on)</t>
  </si>
  <si>
    <t xml:space="preserve">p:+639563375538</t>
  </si>
  <si>
    <t xml:space="preserve">l:1451191642823430</t>
  </si>
  <si>
    <t xml:space="preserve">2026-04-23T07:15:01-05:00</t>
  </si>
  <si>
    <t xml:space="preserve">p:+639398461039</t>
  </si>
  <si>
    <t xml:space="preserve">l:1864451757578038</t>
  </si>
  <si>
    <t xml:space="preserve">2026-04-23T07:31:46-05:00</t>
  </si>
  <si>
    <t xml:space="preserve">p:+639174799888</t>
  </si>
  <si>
    <t xml:space="preserve">l:1546890133765970</t>
  </si>
  <si>
    <t xml:space="preserve">2026-04-23T07:36:41-05:00</t>
  </si>
  <si>
    <t xml:space="preserve">p:</t>
  </si>
  <si>
    <t xml:space="preserve">l:1294936056067326</t>
  </si>
  <si>
    <t xml:space="preserve">2026-04-23T07:42:32-05:00</t>
  </si>
  <si>
    <t xml:space="preserve">p:+639628526454</t>
  </si>
  <si>
    <t xml:space="preserve">l:3927488194227451</t>
  </si>
  <si>
    <t xml:space="preserve">2026-04-23T08:24:34-05:00</t>
  </si>
  <si>
    <t xml:space="preserve">p:+639064454370</t>
  </si>
  <si>
    <t xml:space="preserve">l:844078398054351</t>
  </si>
  <si>
    <t xml:space="preserve">2026-04-23T08:29:20-05:00</t>
  </si>
  <si>
    <t xml:space="preserve">l:1661453464980916</t>
  </si>
  <si>
    <t xml:space="preserve">2026-04-23T10:27:27-05:00</t>
  </si>
  <si>
    <t xml:space="preserve">l:4284897501760230</t>
  </si>
  <si>
    <t xml:space="preserve">2026-04-23T10:31:28-05:00</t>
  </si>
  <si>
    <t xml:space="preserve">p:+639175601868</t>
  </si>
  <si>
    <t xml:space="preserve">l:4238910856439606</t>
  </si>
  <si>
    <t xml:space="preserve">2026-04-23T11:51:29-05:00</t>
  </si>
  <si>
    <t xml:space="preserve">p:+639171433226</t>
  </si>
  <si>
    <t xml:space="preserve">l:1321590056700159</t>
  </si>
  <si>
    <t xml:space="preserve">2026-04-23T12:25:00-05:00</t>
  </si>
  <si>
    <t xml:space="preserve">p:+639778069760</t>
  </si>
  <si>
    <t xml:space="preserve">l:1004800025542705</t>
  </si>
  <si>
    <t xml:space="preserve">2026-04-23T18:35:05-05:00</t>
  </si>
  <si>
    <t xml:space="preserve">p:+639175795552</t>
  </si>
  <si>
    <t xml:space="preserve">l:1301655495265646</t>
  </si>
  <si>
    <t xml:space="preserve">2026-04-23T19:21:45-05:00</t>
  </si>
  <si>
    <t xml:space="preserve">p:+639328769564</t>
  </si>
  <si>
    <t xml:space="preserve">l:1532579551723110</t>
  </si>
  <si>
    <t xml:space="preserve">2026-04-23T19:37:51-05:00</t>
  </si>
  <si>
    <t xml:space="preserve">p:+639175728289</t>
  </si>
  <si>
    <t xml:space="preserve">l:4252816384980371</t>
  </si>
  <si>
    <t xml:space="preserve">2026-04-23T20:27:22-05:00</t>
  </si>
  <si>
    <t xml:space="preserve">p:+639177936797</t>
  </si>
  <si>
    <t xml:space="preserve">l:1499111871614689</t>
  </si>
  <si>
    <t xml:space="preserve">2026-04-23T21:27:30-05:00</t>
  </si>
  <si>
    <t xml:space="preserve">p:+17253039650</t>
  </si>
  <si>
    <t xml:space="preserve">l:2133347344110862</t>
  </si>
  <si>
    <t xml:space="preserve">2026-04-24T01:38:32-05:00</t>
  </si>
  <si>
    <t xml:space="preserve">p:+639178211305</t>
  </si>
  <si>
    <t xml:space="preserve">l:1341551904469701</t>
  </si>
  <si>
    <t xml:space="preserve">2026-04-24T02:26:44-05:00</t>
  </si>
  <si>
    <t xml:space="preserve">l:848081807579810</t>
  </si>
  <si>
    <t xml:space="preserve">2026-04-24T02:43:25-05:00</t>
  </si>
  <si>
    <t xml:space="preserve">p:+639361202723</t>
  </si>
  <si>
    <t xml:space="preserve">l:1269012265406395</t>
  </si>
  <si>
    <t xml:space="preserve">2026-04-24T02:58:57-05:00</t>
  </si>
  <si>
    <t xml:space="preserve">p:+639175229644</t>
  </si>
  <si>
    <t xml:space="preserve">l:1646679356365102</t>
  </si>
  <si>
    <t xml:space="preserve">2026-04-24T04:07:46-05:00</t>
  </si>
  <si>
    <t xml:space="preserve">p:+639473372612</t>
  </si>
  <si>
    <t xml:space="preserve">l:946558868352656</t>
  </si>
  <si>
    <t xml:space="preserve">2026-04-24T04:55:06-05:00</t>
  </si>
  <si>
    <t xml:space="preserve">l:1503613561374349</t>
  </si>
  <si>
    <t xml:space="preserve">2026-04-24T04:57:32-05:00</t>
  </si>
  <si>
    <t xml:space="preserve">p:+639989696869</t>
  </si>
  <si>
    <t xml:space="preserve">l:1680657866720339</t>
  </si>
  <si>
    <t xml:space="preserve">2026-04-24T07:42:19-05:00</t>
  </si>
  <si>
    <t xml:space="preserve">p:+639175202792</t>
  </si>
  <si>
    <t xml:space="preserve">l:1667871867865180</t>
  </si>
  <si>
    <t xml:space="preserve">2026-04-24T08:13:30-05:00</t>
  </si>
  <si>
    <t xml:space="preserve">p:+639155304159</t>
  </si>
  <si>
    <t xml:space="preserve">l:2875412656126595</t>
  </si>
  <si>
    <t xml:space="preserve">2026-04-24T09:25:12-05:00</t>
  </si>
  <si>
    <t xml:space="preserve">p:+639175261230</t>
  </si>
  <si>
    <t xml:space="preserve">l:1395234452630124</t>
  </si>
  <si>
    <t xml:space="preserve">2026-04-24T10:45:23-05:00</t>
  </si>
  <si>
    <t xml:space="preserve">l:26559708133669114</t>
  </si>
  <si>
    <t xml:space="preserve">2026-04-24T10:50:20-05:00</t>
  </si>
  <si>
    <t xml:space="preserve">l:1344654954170390</t>
  </si>
  <si>
    <t xml:space="preserve">2026-04-24T11:06:15-05:00</t>
  </si>
  <si>
    <t xml:space="preserve">p:+639177077817</t>
  </si>
  <si>
    <t xml:space="preserve">l:875122708918801</t>
  </si>
  <si>
    <t xml:space="preserve">2026-04-24T19:29:19-05:00</t>
  </si>
  <si>
    <t xml:space="preserve">p:+639178441995</t>
  </si>
  <si>
    <t xml:space="preserve">l:3547537518717952</t>
  </si>
  <si>
    <t xml:space="preserve">2026-04-24T19:46:46-05:00</t>
  </si>
  <si>
    <t xml:space="preserve">p:+639177188658</t>
  </si>
  <si>
    <t xml:space="preserve">l:4566613116934501</t>
  </si>
  <si>
    <t xml:space="preserve">2026-04-24T21:09:18-05:00</t>
  </si>
  <si>
    <t xml:space="preserve">p:+639173007284</t>
  </si>
  <si>
    <t xml:space="preserve">l:1013415571016217</t>
  </si>
  <si>
    <t xml:space="preserve">2026-04-24T22:00:43-05:00</t>
  </si>
  <si>
    <t xml:space="preserve">p:+639278065790</t>
  </si>
  <si>
    <t xml:space="preserve">l:887173470995990</t>
  </si>
  <si>
    <t xml:space="preserve">2026-04-24T22:49:33-05:00</t>
  </si>
  <si>
    <t xml:space="preserve">p:+639686500117</t>
  </si>
  <si>
    <t xml:space="preserve">l:4171055626478127</t>
  </si>
  <si>
    <t xml:space="preserve">2026-04-24T23:38:00-05:00</t>
  </si>
  <si>
    <t xml:space="preserve">p:+639177280824</t>
  </si>
  <si>
    <t xml:space="preserve">l:1601184290948200</t>
  </si>
  <si>
    <t xml:space="preserve">2026-04-25T01:02:21-05:00</t>
  </si>
  <si>
    <t xml:space="preserve">p:+639178650824</t>
  </si>
  <si>
    <t xml:space="preserve">l:2007093666507015</t>
  </si>
  <si>
    <t xml:space="preserve">2026-04-25T02:23:05-05:00</t>
  </si>
  <si>
    <t xml:space="preserve">p:+639777173213</t>
  </si>
  <si>
    <t xml:space="preserve">l:1478413803743703</t>
  </si>
  <si>
    <t xml:space="preserve">2026-04-25T03:15:00-05:00</t>
  </si>
  <si>
    <t xml:space="preserve">p:+639763093610</t>
  </si>
  <si>
    <t xml:space="preserve">l:1637977953990309</t>
  </si>
  <si>
    <t xml:space="preserve">2026-04-25T05:08:35-05:00</t>
  </si>
  <si>
    <t xml:space="preserve">p:+639171757775</t>
  </si>
  <si>
    <t xml:space="preserve">l:1525147995830736</t>
  </si>
  <si>
    <t xml:space="preserve">2026-04-25T05:33:29-05:00</t>
  </si>
  <si>
    <t xml:space="preserve">p:+639951474275</t>
  </si>
  <si>
    <t xml:space="preserve">l:1673549373661705</t>
  </si>
  <si>
    <t xml:space="preserve">2026-04-25T07:12:59-05:00</t>
  </si>
  <si>
    <t xml:space="preserve">p:+17787983016</t>
  </si>
  <si>
    <t xml:space="preserve">l:2037721933828883</t>
  </si>
  <si>
    <t xml:space="preserve">2026-04-25T07:23:31-05:00</t>
  </si>
  <si>
    <t xml:space="preserve">p:+639175751002</t>
  </si>
  <si>
    <t xml:space="preserve">l:1462713362302264</t>
  </si>
  <si>
    <t xml:space="preserve">2026-04-25T07:57:08-05:00</t>
  </si>
  <si>
    <t xml:space="preserve">l:2739741889715613</t>
  </si>
  <si>
    <t xml:space="preserve">2026-04-25T08:20:59-05:00</t>
  </si>
  <si>
    <t xml:space="preserve">p:+639285201809</t>
  </si>
  <si>
    <t xml:space="preserve">l:1678340996811764</t>
  </si>
  <si>
    <t xml:space="preserve">2026-04-25T09:15:06-05:00</t>
  </si>
  <si>
    <t xml:space="preserve">p:+639176236632</t>
  </si>
  <si>
    <t xml:space="preserve">l:26905413905748433</t>
  </si>
  <si>
    <t xml:space="preserve">2026-04-25T09:19:25-05:00</t>
  </si>
  <si>
    <t xml:space="preserve">p:+639178103572</t>
  </si>
  <si>
    <t xml:space="preserve">l:1445712927331712</t>
  </si>
  <si>
    <t xml:space="preserve">2026-04-25T09:46:14-05:00</t>
  </si>
  <si>
    <t xml:space="preserve">p:+639175200812</t>
  </si>
  <si>
    <t xml:space="preserve">l:1671214620998601</t>
  </si>
  <si>
    <t xml:space="preserve">2026-04-25T09:46:44-05:00</t>
  </si>
  <si>
    <t xml:space="preserve">p:639052946188</t>
  </si>
  <si>
    <t xml:space="preserve">l:2176267266464343</t>
  </si>
  <si>
    <t xml:space="preserve">2026-04-25T14:26:10-05:00</t>
  </si>
  <si>
    <t xml:space="preserve">p:+639979609570</t>
  </si>
  <si>
    <t xml:space="preserve">l:4147861978838284</t>
  </si>
  <si>
    <t xml:space="preserve">2026-04-25T16:03:22-05:00</t>
  </si>
  <si>
    <t xml:space="preserve">p:+639064376309</t>
  </si>
  <si>
    <t xml:space="preserve">l:932223106301798</t>
  </si>
  <si>
    <t xml:space="preserve">2026-04-25T20:37:27-05:00</t>
  </si>
  <si>
    <t xml:space="preserve">p:+639279433186</t>
  </si>
  <si>
    <t xml:space="preserve">l:963193183165183</t>
  </si>
  <si>
    <t xml:space="preserve">2026-04-25T21:26:24-05:00</t>
  </si>
  <si>
    <t xml:space="preserve">p:+639260324868</t>
  </si>
  <si>
    <t xml:space="preserve">l:2129215171264655</t>
  </si>
  <si>
    <t xml:space="preserve">2026-04-25T21:48:45-05:00</t>
  </si>
  <si>
    <t xml:space="preserve">p:+639989770102</t>
  </si>
  <si>
    <t xml:space="preserve">l:1718682239560847</t>
  </si>
  <si>
    <t xml:space="preserve">2026-04-25T22:23:44-05:00</t>
  </si>
  <si>
    <t xml:space="preserve">p:+639189080848</t>
  </si>
  <si>
    <t xml:space="preserve">l:1403785498459650</t>
  </si>
  <si>
    <t xml:space="preserve">2026-04-25T22:32:43-05:00</t>
  </si>
  <si>
    <t xml:space="preserve">p:+639171845483</t>
  </si>
  <si>
    <t xml:space="preserve">l:1305335488408502</t>
  </si>
  <si>
    <t xml:space="preserve">2026-04-25T23:24:56-05:00</t>
  </si>
  <si>
    <t xml:space="preserve">p:+639178953031</t>
  </si>
  <si>
    <t xml:space="preserve">l:2017288665663949</t>
  </si>
  <si>
    <t xml:space="preserve">2026-04-26T03:42:48-05:00</t>
  </si>
  <si>
    <t xml:space="preserve">p:+639778161245</t>
  </si>
  <si>
    <t xml:space="preserve">l:1495914945275251</t>
  </si>
  <si>
    <t xml:space="preserve">2026-04-26T04:02:14-05:00</t>
  </si>
  <si>
    <t xml:space="preserve">p:+639088940131</t>
  </si>
  <si>
    <t xml:space="preserve">l:932038706319010</t>
  </si>
  <si>
    <t xml:space="preserve">2026-04-26T04:50:35-05:00</t>
  </si>
  <si>
    <t xml:space="preserve">p:+69612757469</t>
  </si>
  <si>
    <t xml:space="preserve">l:1229940985882287</t>
  </si>
  <si>
    <t xml:space="preserve">2026-04-26T06:05:31-05:00</t>
  </si>
  <si>
    <t xml:space="preserve">p:+639178415646</t>
  </si>
  <si>
    <t xml:space="preserve">l:1528980468939401</t>
  </si>
  <si>
    <t xml:space="preserve">2026-04-26T06:28:36-05:00</t>
  </si>
  <si>
    <t xml:space="preserve">p:+639760194972</t>
  </si>
  <si>
    <t xml:space="preserve">l:837640649383920</t>
  </si>
  <si>
    <t xml:space="preserve">2026-04-26T08:09:40-05:00</t>
  </si>
  <si>
    <t xml:space="preserve">p:+639173062068</t>
  </si>
  <si>
    <t xml:space="preserve">l:4453996558212448</t>
  </si>
  <si>
    <t xml:space="preserve">2026-04-26T08:11:51-05:00</t>
  </si>
  <si>
    <t xml:space="preserve">p:+639989977150</t>
  </si>
  <si>
    <t xml:space="preserve">l:2019787721942191</t>
  </si>
  <si>
    <t xml:space="preserve">2026-04-26T08:31:49-05:00</t>
  </si>
  <si>
    <t xml:space="preserve">p:+639992264246</t>
  </si>
  <si>
    <t xml:space="preserve">l:2388891171596645</t>
  </si>
  <si>
    <t xml:space="preserve">2026-04-26T09:17:08-05:00</t>
  </si>
  <si>
    <t xml:space="preserve">p:+639178378448</t>
  </si>
  <si>
    <t xml:space="preserve">l:798058279782495</t>
  </si>
  <si>
    <t xml:space="preserve">2026-04-26T09:38:49-05:00</t>
  </si>
  <si>
    <t xml:space="preserve">p:+639985398329</t>
  </si>
  <si>
    <t xml:space="preserve">l:1290703522990085</t>
  </si>
  <si>
    <t xml:space="preserve">2026-04-26T09:54:29-05:00</t>
  </si>
  <si>
    <t xml:space="preserve">p:+639178156713</t>
  </si>
  <si>
    <t xml:space="preserve">l:899252419801984</t>
  </si>
  <si>
    <t xml:space="preserve">2026-04-26T10:05:36-05:00</t>
  </si>
  <si>
    <t xml:space="preserve">p:+639178776275</t>
  </si>
  <si>
    <t xml:space="preserve">l:1691649418934770</t>
  </si>
  <si>
    <t xml:space="preserve">2026-04-26T10:19:03-05:00</t>
  </si>
  <si>
    <t xml:space="preserve">p:+639178862867</t>
  </si>
  <si>
    <t xml:space="preserve">l:1882703582433329</t>
  </si>
  <si>
    <t xml:space="preserve">2026-04-26T10:41:44-05:00</t>
  </si>
  <si>
    <t xml:space="preserve">l:844820781967683</t>
  </si>
  <si>
    <t xml:space="preserve">2026-04-26T15:33:22-05:00</t>
  </si>
  <si>
    <t xml:space="preserve">p:+639176338553</t>
  </si>
  <si>
    <t xml:space="preserve">l:964066246589597</t>
  </si>
  <si>
    <t xml:space="preserve">2026-04-26T15:41:39-05:00</t>
  </si>
  <si>
    <t xml:space="preserve">p:017673042970</t>
  </si>
  <si>
    <t xml:space="preserve">l:4420894754788706</t>
  </si>
  <si>
    <t xml:space="preserve">2026-04-26T17:58:29-05:00</t>
  </si>
  <si>
    <t xml:space="preserve">p:+639776777898</t>
  </si>
  <si>
    <t xml:space="preserve">l:4226230397690455</t>
  </si>
  <si>
    <t xml:space="preserve">2026-04-26T19:22:04-05:00</t>
  </si>
  <si>
    <t xml:space="preserve">p:+639295536740</t>
  </si>
  <si>
    <t xml:space="preserve">l:990340467282652</t>
  </si>
  <si>
    <t xml:space="preserve">2026-04-26T21:06:18-05:00</t>
  </si>
  <si>
    <t xml:space="preserve">l:832641609872444</t>
  </si>
  <si>
    <t xml:space="preserve">2026-04-26T22:01:52-05:00</t>
  </si>
  <si>
    <t xml:space="preserve">p:+639332000455</t>
  </si>
  <si>
    <t xml:space="preserve">l:26158316127197762</t>
  </si>
  <si>
    <t xml:space="preserve">2026-04-26T22:11:40-05:00</t>
  </si>
  <si>
    <t xml:space="preserve">p:+639175150889</t>
  </si>
  <si>
    <t xml:space="preserve">l:1301437255280127</t>
  </si>
  <si>
    <t xml:space="preserve">2026-04-26T23:29:25-05:00</t>
  </si>
  <si>
    <t xml:space="preserve">p:09175601868</t>
  </si>
  <si>
    <t xml:space="preserve">l:2147439852771642</t>
  </si>
  <si>
    <t xml:space="preserve">2026-04-27T00:08:58-05:00</t>
  </si>
  <si>
    <t xml:space="preserve">p:+639175212662</t>
  </si>
  <si>
    <t xml:space="preserve">l:1026775949908763</t>
  </si>
  <si>
    <t xml:space="preserve">2026-04-27T01:16:29-05:00</t>
  </si>
  <si>
    <t xml:space="preserve">p:+639209176148</t>
  </si>
  <si>
    <t xml:space="preserve">l:26929230073337186</t>
  </si>
  <si>
    <t xml:space="preserve">2026-04-27T02:02:11-05:00</t>
  </si>
  <si>
    <t xml:space="preserve">p:+639171231235</t>
  </si>
  <si>
    <t xml:space="preserve">l:952176107414589</t>
  </si>
  <si>
    <t xml:space="preserve">2026-04-27T03:17:51-05:00</t>
  </si>
  <si>
    <t xml:space="preserve">p:09176666642</t>
  </si>
  <si>
    <t xml:space="preserve">l:2188159808662257</t>
  </si>
  <si>
    <t xml:space="preserve">2026-04-27T05:26:17-05:00</t>
  </si>
  <si>
    <t xml:space="preserve">p:+639152880803</t>
  </si>
  <si>
    <t xml:space="preserve">l:990452683555922</t>
  </si>
  <si>
    <t xml:space="preserve">2026-04-27T07:46:21-05:00</t>
  </si>
  <si>
    <t xml:space="preserve">p:+639173216632</t>
  </si>
  <si>
    <t xml:space="preserve">l:1453912789375586</t>
  </si>
  <si>
    <t xml:space="preserve">2026-04-27T09:01:07-05:00</t>
  </si>
  <si>
    <t xml:space="preserve">p:09178550861</t>
  </si>
  <si>
    <t xml:space="preserve">l:2108572683336500</t>
  </si>
  <si>
    <t xml:space="preserve">2026-04-27T12:36:34-05:00</t>
  </si>
  <si>
    <t xml:space="preserve">p:+639688866860</t>
  </si>
  <si>
    <t xml:space="preserve">l:1327326345909288</t>
  </si>
  <si>
    <t xml:space="preserve">2026-04-27T12:55:07-05:00</t>
  </si>
  <si>
    <t xml:space="preserve">p:+639177167118</t>
  </si>
  <si>
    <t xml:space="preserve">l:951034930966565</t>
  </si>
  <si>
    <t xml:space="preserve">2026-04-27T18:52:23-05:00</t>
  </si>
  <si>
    <t xml:space="preserve">p:+639275809271</t>
  </si>
  <si>
    <t xml:space="preserve">l:4442054899398038</t>
  </si>
  <si>
    <t xml:space="preserve">2026-04-27T19:12:20-05:00</t>
  </si>
  <si>
    <t xml:space="preserve">p:+639175790579</t>
  </si>
  <si>
    <t xml:space="preserve">l:1584253089320237</t>
  </si>
  <si>
    <t xml:space="preserve">2026-04-27T19:17:01-05:00</t>
  </si>
  <si>
    <t xml:space="preserve">p:+639498858345</t>
  </si>
  <si>
    <t xml:space="preserve">l:1698543534471441</t>
  </si>
  <si>
    <t xml:space="preserve">2026-04-27T21:34:53-05:00</t>
  </si>
  <si>
    <t xml:space="preserve">p:+639175010022</t>
  </si>
  <si>
    <t xml:space="preserve">l:1278578890491868</t>
  </si>
  <si>
    <t xml:space="preserve">2026-04-27T22:02:10-05:00</t>
  </si>
  <si>
    <t xml:space="preserve">p:+639177908974</t>
  </si>
  <si>
    <t xml:space="preserve">l:2511608145956777</t>
  </si>
  <si>
    <t xml:space="preserve">2026-04-27T23:46:22-05:00</t>
  </si>
  <si>
    <t xml:space="preserve">p:+639189511058</t>
  </si>
  <si>
    <t xml:space="preserve">l:918347011230363</t>
  </si>
  <si>
    <t xml:space="preserve">2026-04-28T00:33:06-05:00</t>
  </si>
  <si>
    <t xml:space="preserve">p:+639279004482</t>
  </si>
  <si>
    <t xml:space="preserve">l:838412635355587</t>
  </si>
  <si>
    <t xml:space="preserve">2026-04-28T00:53:02-05:00</t>
  </si>
  <si>
    <t xml:space="preserve">p:+639175059038</t>
  </si>
  <si>
    <t xml:space="preserve">l:993385019776182</t>
  </si>
  <si>
    <t xml:space="preserve">2026-04-28T02:50:17-05:00</t>
  </si>
  <si>
    <t xml:space="preserve">p:+639176300542</t>
  </si>
  <si>
    <t xml:space="preserve">l:817465954421953</t>
  </si>
  <si>
    <t xml:space="preserve">2026-04-28T05:26:28-05:00</t>
  </si>
  <si>
    <t xml:space="preserve">p:+639178722345</t>
  </si>
  <si>
    <t xml:space="preserve">l:858658210595829</t>
  </si>
  <si>
    <t xml:space="preserve">2026-04-28T06:30:28-05:00</t>
  </si>
  <si>
    <t xml:space="preserve">p:+639626483451</t>
  </si>
  <si>
    <t xml:space="preserve">l:2510045852748170</t>
  </si>
  <si>
    <t xml:space="preserve">2026-04-28T07:11:58-05:00</t>
  </si>
  <si>
    <t xml:space="preserve">p:+639175988269</t>
  </si>
  <si>
    <t xml:space="preserve">l:1606105493828621</t>
  </si>
  <si>
    <t xml:space="preserve">2026-04-28T07:32:47-05:00</t>
  </si>
  <si>
    <t xml:space="preserve">p:+639288765414</t>
  </si>
  <si>
    <t xml:space="preserve">l:975152558804167</t>
  </si>
  <si>
    <t xml:space="preserve">2026-04-28T08:03:33-05:00</t>
  </si>
  <si>
    <t xml:space="preserve">p:+639171877021</t>
  </si>
  <si>
    <t xml:space="preserve">l:2237818123622115</t>
  </si>
  <si>
    <t xml:space="preserve">2026-04-28T09:16:31-05:00</t>
  </si>
  <si>
    <t xml:space="preserve">p:+639171601019</t>
  </si>
  <si>
    <t xml:space="preserve">l:2464270723994207</t>
  </si>
  <si>
    <t xml:space="preserve">2026-04-28T09:28:41-05:00</t>
  </si>
  <si>
    <t xml:space="preserve">p:+639369517502</t>
  </si>
  <si>
    <t xml:space="preserve">l:1575641884566244</t>
  </si>
  <si>
    <t xml:space="preserve">2026-04-28T11:02:17-05:00</t>
  </si>
  <si>
    <t xml:space="preserve">p:+639988863962</t>
  </si>
  <si>
    <t xml:space="preserve">l:2440149409776236</t>
  </si>
  <si>
    <t xml:space="preserve">2026-04-28T11:12:40-05:00</t>
  </si>
  <si>
    <t xml:space="preserve">p:+639175830209</t>
  </si>
  <si>
    <t xml:space="preserve">l:1497187401806405</t>
  </si>
  <si>
    <t xml:space="preserve">2026-04-28T11:32:35-05:00</t>
  </si>
  <si>
    <t xml:space="preserve">p:+639451409530</t>
  </si>
  <si>
    <t xml:space="preserve">l:2746293815738952</t>
  </si>
  <si>
    <t xml:space="preserve">2026-04-28T12:08:13-05:00</t>
  </si>
  <si>
    <t xml:space="preserve">p:+639175899821</t>
  </si>
  <si>
    <t xml:space="preserve">l:1628259168410473</t>
  </si>
  <si>
    <t xml:space="preserve">2026-04-28T21:44:45-05:00</t>
  </si>
  <si>
    <t xml:space="preserve">p:+639178331491</t>
  </si>
  <si>
    <t xml:space="preserve">l:1711119979881932</t>
  </si>
  <si>
    <t xml:space="preserve">2026-04-28T22:24:43-05:00</t>
  </si>
  <si>
    <t xml:space="preserve">p:+639171921127</t>
  </si>
  <si>
    <t xml:space="preserve">l:5005854812974346</t>
  </si>
  <si>
    <t xml:space="preserve">2026-04-28T22:39:06-05:00</t>
  </si>
  <si>
    <t xml:space="preserve">p:+639178654545</t>
  </si>
  <si>
    <t xml:space="preserve">l:4366469906952082</t>
  </si>
  <si>
    <t xml:space="preserve">2026-04-29T05:44:04-05:00</t>
  </si>
  <si>
    <t xml:space="preserve">p:09175523547</t>
  </si>
  <si>
    <t xml:space="preserve">l:806798135492393</t>
  </si>
  <si>
    <t xml:space="preserve">2026-04-29T08:12:05-05:00</t>
  </si>
  <si>
    <t xml:space="preserve">p:+639178581884</t>
  </si>
  <si>
    <t xml:space="preserve">l:1310215231009259</t>
  </si>
  <si>
    <t xml:space="preserve">2026-04-29T08:26:02-05:00</t>
  </si>
  <si>
    <t xml:space="preserve">p:+639272551548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</si>
</sst>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8F9FA"/>
      </patternFill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E7E6E6"/>
        <bgColor rgb="FFF2F2F2"/>
      </patternFill>
    </fill>
    <fill>
      <patternFill patternType="solid">
        <fgColor rgb="FFD9D9D9"/>
        <bgColor rgb="FFE7E6E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80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6E0B4"/>
      <rgbColor rgb="FF808080"/>
      <rgbColor rgb="FF9999FF"/>
      <rgbColor rgb="FF993366"/>
      <rgbColor rgb="FFF8F9FA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7" min="6" style="0" width="22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30" hidden="false" customHeight="true" outlineLevel="0" collapsed="false">
      <c r="A5" s="4" t="n">
        <f aca="false">COUNTA('All Leads Ranked'!B2:B122)</f>
        <v>121</v>
      </c>
      <c r="B5" s="4"/>
      <c r="C5" s="4" t="n">
        <f aca="false">COUNTIF('All Leads Ranked'!P2:P122,"*HOT*")</f>
        <v>11</v>
      </c>
      <c r="D5" s="4"/>
      <c r="E5" s="4" t="n">
        <f aca="false">COUNTIF('All Leads Ranked'!P2:P122,"*Warm*")</f>
        <v>31</v>
      </c>
      <c r="F5" s="4"/>
      <c r="G5" s="4" t="n">
        <f aca="false">COUNTIF('All Leads Ranked'!H2:H122,"*3,000,000+*")</f>
        <v>8</v>
      </c>
      <c r="H5" s="4"/>
      <c r="I5" s="4" t="n">
        <f aca="false">COUNTIF('All Leads Ranked'!F2:F122,"Business owner (F&amp;B)")</f>
        <v>25</v>
      </c>
      <c r="J5" s="4"/>
      <c r="K5" s="4" t="n">
        <f aca="false">ROUND(AVERAGE('All Leads Ranked'!N2:N122),0)</f>
        <v>57</v>
      </c>
      <c r="L5" s="4"/>
    </row>
    <row r="6" customFormat="false" ht="7.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9" customFormat="false" ht="16.15" hidden="false" customHeight="false" outlineLevel="0" collapsed="false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customFormat="false" ht="15" hidden="false" customHeight="false" outlineLevel="0" collapsed="false">
      <c r="A11" s="6" t="s">
        <v>9</v>
      </c>
      <c r="B11" s="6" t="s">
        <v>10</v>
      </c>
      <c r="C11" s="6" t="s">
        <v>11</v>
      </c>
      <c r="E11" s="6" t="s">
        <v>12</v>
      </c>
      <c r="F11" s="6" t="s">
        <v>10</v>
      </c>
      <c r="G11" s="6" t="s">
        <v>11</v>
      </c>
      <c r="I11" s="6" t="s">
        <v>13</v>
      </c>
      <c r="J11" s="6" t="s">
        <v>10</v>
      </c>
      <c r="K11" s="6" t="s">
        <v>11</v>
      </c>
    </row>
    <row r="12" customFormat="false" ht="15" hidden="false" customHeight="false" outlineLevel="0" collapsed="false">
      <c r="A12" s="7" t="s">
        <v>14</v>
      </c>
      <c r="B12" s="8" t="n">
        <f aca="false">COUNTIF('All Leads Ranked'!P2:P122,"🔥 HOT — Call Today")</f>
        <v>11</v>
      </c>
      <c r="C12" s="9" t="n">
        <f aca="false">B12/121</f>
        <v>0.0909090909090909</v>
      </c>
      <c r="E12" s="10" t="s">
        <v>15</v>
      </c>
      <c r="F12" s="8" t="n">
        <f aca="false">COUNTIF('All Leads Ranked'!H2:H122,"*3,000,000+*")</f>
        <v>8</v>
      </c>
      <c r="G12" s="9" t="n">
        <f aca="false">F12/121</f>
        <v>0.0661157024793388</v>
      </c>
      <c r="I12" s="10" t="s">
        <v>16</v>
      </c>
      <c r="J12" s="8" t="n">
        <f aca="false">COUNTIF('All Leads Ranked'!F2:F122,"Business owner (F&amp;B)")</f>
        <v>25</v>
      </c>
      <c r="K12" s="9" t="n">
        <f aca="false">J12/121</f>
        <v>0.206611570247934</v>
      </c>
    </row>
    <row r="13" customFormat="false" ht="15" hidden="false" customHeight="false" outlineLevel="0" collapsed="false">
      <c r="A13" s="11" t="s">
        <v>17</v>
      </c>
      <c r="B13" s="8" t="n">
        <f aca="false">COUNTIF('All Leads Ranked'!P2:P122,"⭐ Warm — Call This Week")</f>
        <v>31</v>
      </c>
      <c r="C13" s="9" t="n">
        <f aca="false">B13/121</f>
        <v>0.256198347107438</v>
      </c>
      <c r="E13" s="10" t="s">
        <v>18</v>
      </c>
      <c r="F13" s="8" t="n">
        <f aca="false">COUNTIF('All Leads Ranked'!H2:H122,"*1,000,000*3,000,000*")</f>
        <v>19</v>
      </c>
      <c r="G13" s="9" t="n">
        <f aca="false">F13/121</f>
        <v>0.15702479338843</v>
      </c>
      <c r="I13" s="10" t="s">
        <v>19</v>
      </c>
      <c r="J13" s="8" t="n">
        <f aca="false">COUNTIF('All Leads Ranked'!F2:F122,"Business owner (Non-F&amp;B)")</f>
        <v>20</v>
      </c>
      <c r="K13" s="9" t="n">
        <f aca="false">J13/121</f>
        <v>0.165289256198347</v>
      </c>
    </row>
    <row r="14" customFormat="false" ht="15" hidden="false" customHeight="false" outlineLevel="0" collapsed="false">
      <c r="A14" s="12" t="s">
        <v>20</v>
      </c>
      <c r="B14" s="8" t="n">
        <f aca="false">COUNTIF('All Leads Ranked'!P2:P122,"📋 Qualified — Email First")</f>
        <v>79</v>
      </c>
      <c r="C14" s="9" t="n">
        <f aca="false">B14/121</f>
        <v>0.652892561983471</v>
      </c>
      <c r="E14" s="10" t="s">
        <v>21</v>
      </c>
      <c r="F14" s="8" t="n">
        <f aca="false">COUNTIF('All Leads Ranked'!H2:H122,"*500,000*1,000,000*")</f>
        <v>94</v>
      </c>
      <c r="G14" s="9" t="n">
        <f aca="false">F14/121</f>
        <v>0.776859504132231</v>
      </c>
      <c r="I14" s="10" t="s">
        <v>22</v>
      </c>
      <c r="J14" s="8" t="n">
        <f aca="false">COUNTIF('All Leads Ranked'!F2:F122,"Investor")</f>
        <v>40</v>
      </c>
      <c r="K14" s="9" t="n">
        <f aca="false">J14/121</f>
        <v>0.330578512396694</v>
      </c>
    </row>
    <row r="15" customFormat="false" ht="15" hidden="false" customHeight="false" outlineLevel="0" collapsed="false">
      <c r="A15" s="13" t="s">
        <v>23</v>
      </c>
      <c r="B15" s="8" t="n">
        <f aca="false">COUNTIF('All Leads Ranked'!P2:P122,"❄️ Low — Nurture")</f>
        <v>0</v>
      </c>
      <c r="C15" s="9" t="n">
        <f aca="false">B15/121</f>
        <v>0</v>
      </c>
      <c r="I15" s="10" t="s">
        <v>24</v>
      </c>
      <c r="J15" s="8" t="n">
        <f aca="false">COUNTIF('All Leads Ranked'!F2:F122,"Planning to start a business")</f>
        <v>36</v>
      </c>
      <c r="K15" s="9" t="n">
        <f aca="false">J15/121</f>
        <v>0.297520661157025</v>
      </c>
    </row>
    <row r="16" customFormat="false" ht="15" hidden="false" customHeight="false" outlineLevel="0" collapsed="false">
      <c r="A16" s="14" t="s">
        <v>25</v>
      </c>
      <c r="B16" s="15" t="n">
        <f aca="false">SUM(B12:B15)</f>
        <v>121</v>
      </c>
      <c r="C16" s="16" t="n">
        <f aca="false">SUM(C12:C15)</f>
        <v>1</v>
      </c>
    </row>
    <row r="19" customFormat="false" ht="16.15" hidden="false" customHeight="false" outlineLevel="0" collapsed="false">
      <c r="A19" s="5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17" t="s">
        <v>27</v>
      </c>
      <c r="B20" s="17" t="s">
        <v>28</v>
      </c>
      <c r="C20" s="17" t="s">
        <v>29</v>
      </c>
      <c r="D20" s="17" t="s">
        <v>30</v>
      </c>
      <c r="E20" s="17" t="s">
        <v>31</v>
      </c>
      <c r="F20" s="17" t="s">
        <v>32</v>
      </c>
      <c r="G20" s="17" t="s">
        <v>33</v>
      </c>
      <c r="H20" s="17" t="s">
        <v>34</v>
      </c>
      <c r="I20" s="17" t="s">
        <v>35</v>
      </c>
    </row>
    <row r="21" customFormat="false" ht="15" hidden="false" customHeight="false" outlineLevel="0" collapsed="false">
      <c r="A21" s="8" t="n">
        <v>1</v>
      </c>
      <c r="B21" s="10" t="s">
        <v>36</v>
      </c>
      <c r="C21" s="10" t="s">
        <v>37</v>
      </c>
      <c r="D21" s="10" t="s">
        <v>38</v>
      </c>
      <c r="E21" s="10" t="s">
        <v>15</v>
      </c>
      <c r="F21" s="10" t="s">
        <v>16</v>
      </c>
      <c r="G21" s="10" t="s">
        <v>39</v>
      </c>
      <c r="H21" s="8" t="n">
        <v>95</v>
      </c>
      <c r="I21" s="10" t="s">
        <v>40</v>
      </c>
    </row>
    <row r="22" customFormat="false" ht="15" hidden="false" customHeight="false" outlineLevel="0" collapsed="false">
      <c r="A22" s="18" t="n">
        <v>2</v>
      </c>
      <c r="B22" s="19" t="s">
        <v>41</v>
      </c>
      <c r="C22" s="19" t="s">
        <v>42</v>
      </c>
      <c r="D22" s="19" t="s">
        <v>43</v>
      </c>
      <c r="E22" s="19" t="s">
        <v>15</v>
      </c>
      <c r="F22" s="19" t="s">
        <v>16</v>
      </c>
      <c r="G22" s="19" t="s">
        <v>39</v>
      </c>
      <c r="H22" s="18" t="n">
        <v>95</v>
      </c>
      <c r="I22" s="19" t="s">
        <v>40</v>
      </c>
    </row>
    <row r="23" customFormat="false" ht="15" hidden="false" customHeight="false" outlineLevel="0" collapsed="false">
      <c r="A23" s="8" t="n">
        <v>3</v>
      </c>
      <c r="B23" s="10" t="s">
        <v>44</v>
      </c>
      <c r="C23" s="10" t="s">
        <v>45</v>
      </c>
      <c r="D23" s="10" t="s">
        <v>46</v>
      </c>
      <c r="E23" s="10" t="s">
        <v>15</v>
      </c>
      <c r="F23" s="10" t="s">
        <v>16</v>
      </c>
      <c r="G23" s="10" t="s">
        <v>39</v>
      </c>
      <c r="H23" s="8" t="n">
        <v>95</v>
      </c>
      <c r="I23" s="10" t="s">
        <v>40</v>
      </c>
    </row>
    <row r="24" customFormat="false" ht="15" hidden="false" customHeight="false" outlineLevel="0" collapsed="false">
      <c r="A24" s="18" t="n">
        <v>4</v>
      </c>
      <c r="B24" s="19" t="s">
        <v>47</v>
      </c>
      <c r="C24" s="19" t="s">
        <v>48</v>
      </c>
      <c r="D24" s="19" t="s">
        <v>49</v>
      </c>
      <c r="E24" s="19" t="s">
        <v>15</v>
      </c>
      <c r="F24" s="19" t="s">
        <v>16</v>
      </c>
      <c r="G24" s="19" t="s">
        <v>39</v>
      </c>
      <c r="H24" s="18" t="n">
        <v>95</v>
      </c>
      <c r="I24" s="19" t="s">
        <v>40</v>
      </c>
    </row>
    <row r="25" customFormat="false" ht="15" hidden="false" customHeight="false" outlineLevel="0" collapsed="false">
      <c r="A25" s="8" t="n">
        <v>5</v>
      </c>
      <c r="B25" s="10" t="s">
        <v>50</v>
      </c>
      <c r="C25" s="10"/>
      <c r="D25" s="10" t="s">
        <v>51</v>
      </c>
      <c r="E25" s="10" t="s">
        <v>15</v>
      </c>
      <c r="F25" s="10" t="s">
        <v>16</v>
      </c>
      <c r="G25" s="10" t="s">
        <v>39</v>
      </c>
      <c r="H25" s="8" t="n">
        <v>95</v>
      </c>
      <c r="I25" s="10" t="s">
        <v>40</v>
      </c>
    </row>
    <row r="26" customFormat="false" ht="15" hidden="false" customHeight="false" outlineLevel="0" collapsed="false">
      <c r="A26" s="18" t="n">
        <v>6</v>
      </c>
      <c r="B26" s="19" t="s">
        <v>52</v>
      </c>
      <c r="C26" s="19" t="s">
        <v>53</v>
      </c>
      <c r="D26" s="19" t="s">
        <v>54</v>
      </c>
      <c r="E26" s="19" t="s">
        <v>15</v>
      </c>
      <c r="F26" s="19" t="s">
        <v>16</v>
      </c>
      <c r="G26" s="19" t="s">
        <v>55</v>
      </c>
      <c r="H26" s="18" t="n">
        <v>90</v>
      </c>
      <c r="I26" s="19" t="s">
        <v>56</v>
      </c>
    </row>
    <row r="27" customFormat="false" ht="15" hidden="false" customHeight="false" outlineLevel="0" collapsed="false">
      <c r="A27" s="8" t="n">
        <v>7</v>
      </c>
      <c r="B27" s="10" t="s">
        <v>57</v>
      </c>
      <c r="C27" s="10" t="s">
        <v>58</v>
      </c>
      <c r="D27" s="10" t="s">
        <v>59</v>
      </c>
      <c r="E27" s="10" t="s">
        <v>15</v>
      </c>
      <c r="F27" s="10" t="s">
        <v>22</v>
      </c>
      <c r="G27" s="10" t="s">
        <v>39</v>
      </c>
      <c r="H27" s="8" t="n">
        <v>87</v>
      </c>
      <c r="I27" s="10" t="s">
        <v>60</v>
      </c>
    </row>
    <row r="28" customFormat="false" ht="15" hidden="false" customHeight="false" outlineLevel="0" collapsed="false">
      <c r="A28" s="18" t="n">
        <v>8</v>
      </c>
      <c r="B28" s="19" t="s">
        <v>61</v>
      </c>
      <c r="C28" s="19" t="s">
        <v>62</v>
      </c>
      <c r="D28" s="19" t="s">
        <v>63</v>
      </c>
      <c r="E28" s="19" t="s">
        <v>15</v>
      </c>
      <c r="F28" s="19" t="s">
        <v>19</v>
      </c>
      <c r="G28" s="19" t="s">
        <v>55</v>
      </c>
      <c r="H28" s="18" t="n">
        <v>85</v>
      </c>
      <c r="I28" s="19" t="s">
        <v>64</v>
      </c>
    </row>
    <row r="29" customFormat="false" ht="15" hidden="false" customHeight="false" outlineLevel="0" collapsed="false">
      <c r="A29" s="8" t="n">
        <v>9</v>
      </c>
      <c r="B29" s="10" t="s">
        <v>65</v>
      </c>
      <c r="C29" s="10" t="s">
        <v>66</v>
      </c>
      <c r="D29" s="10" t="s">
        <v>67</v>
      </c>
      <c r="E29" s="10" t="s">
        <v>18</v>
      </c>
      <c r="F29" s="10" t="s">
        <v>16</v>
      </c>
      <c r="G29" s="10" t="s">
        <v>39</v>
      </c>
      <c r="H29" s="8" t="n">
        <v>80</v>
      </c>
      <c r="I29" s="10" t="s">
        <v>68</v>
      </c>
    </row>
    <row r="30" customFormat="false" ht="15" hidden="false" customHeight="false" outlineLevel="0" collapsed="false">
      <c r="A30" s="18" t="n">
        <v>10</v>
      </c>
      <c r="B30" s="19" t="s">
        <v>69</v>
      </c>
      <c r="C30" s="19" t="s">
        <v>70</v>
      </c>
      <c r="D30" s="19" t="s">
        <v>71</v>
      </c>
      <c r="E30" s="19" t="s">
        <v>18</v>
      </c>
      <c r="F30" s="19" t="s">
        <v>16</v>
      </c>
      <c r="G30" s="19" t="s">
        <v>39</v>
      </c>
      <c r="H30" s="18" t="n">
        <v>80</v>
      </c>
      <c r="I30" s="19" t="s">
        <v>68</v>
      </c>
    </row>
    <row r="31" customFormat="false" ht="15" hidden="false" customHeight="false" outlineLevel="0" collapsed="false">
      <c r="A31" s="8" t="n">
        <v>11</v>
      </c>
      <c r="B31" s="10" t="s">
        <v>72</v>
      </c>
      <c r="C31" s="10" t="s">
        <v>73</v>
      </c>
      <c r="D31" s="10" t="s">
        <v>74</v>
      </c>
      <c r="E31" s="10" t="s">
        <v>18</v>
      </c>
      <c r="F31" s="10" t="s">
        <v>16</v>
      </c>
      <c r="G31" s="10" t="s">
        <v>39</v>
      </c>
      <c r="H31" s="8" t="n">
        <v>80</v>
      </c>
      <c r="I31" s="10" t="s">
        <v>68</v>
      </c>
    </row>
    <row r="32" customFormat="false" ht="15" hidden="false" customHeight="false" outlineLevel="0" collapsed="false">
      <c r="A32" s="18" t="n">
        <v>12</v>
      </c>
      <c r="B32" s="19" t="s">
        <v>75</v>
      </c>
      <c r="C32" s="19" t="s">
        <v>76</v>
      </c>
      <c r="D32" s="19" t="s">
        <v>77</v>
      </c>
      <c r="E32" s="19" t="s">
        <v>18</v>
      </c>
      <c r="F32" s="19" t="s">
        <v>16</v>
      </c>
      <c r="G32" s="19" t="s">
        <v>55</v>
      </c>
      <c r="H32" s="18" t="n">
        <v>75</v>
      </c>
      <c r="I32" s="19" t="s">
        <v>78</v>
      </c>
    </row>
    <row r="33" customFormat="false" ht="15" hidden="false" customHeight="false" outlineLevel="0" collapsed="false">
      <c r="A33" s="8" t="n">
        <v>13</v>
      </c>
      <c r="B33" s="10" t="s">
        <v>79</v>
      </c>
      <c r="C33" s="10" t="s">
        <v>80</v>
      </c>
      <c r="D33" s="10" t="s">
        <v>81</v>
      </c>
      <c r="E33" s="10" t="s">
        <v>18</v>
      </c>
      <c r="F33" s="10" t="s">
        <v>19</v>
      </c>
      <c r="G33" s="10" t="s">
        <v>39</v>
      </c>
      <c r="H33" s="8" t="n">
        <v>75</v>
      </c>
      <c r="I33" s="10" t="s">
        <v>82</v>
      </c>
    </row>
    <row r="34" customFormat="false" ht="15" hidden="false" customHeight="false" outlineLevel="0" collapsed="false">
      <c r="A34" s="18" t="n">
        <v>14</v>
      </c>
      <c r="B34" s="19" t="s">
        <v>83</v>
      </c>
      <c r="C34" s="19" t="s">
        <v>70</v>
      </c>
      <c r="D34" s="19" t="s">
        <v>71</v>
      </c>
      <c r="E34" s="19" t="s">
        <v>18</v>
      </c>
      <c r="F34" s="19" t="s">
        <v>19</v>
      </c>
      <c r="G34" s="19" t="s">
        <v>39</v>
      </c>
      <c r="H34" s="18" t="n">
        <v>75</v>
      </c>
      <c r="I34" s="19" t="s">
        <v>82</v>
      </c>
    </row>
    <row r="35" customFormat="false" ht="15" hidden="false" customHeight="false" outlineLevel="0" collapsed="false">
      <c r="A35" s="8" t="n">
        <v>15</v>
      </c>
      <c r="B35" s="10" t="s">
        <v>84</v>
      </c>
      <c r="C35" s="10"/>
      <c r="D35" s="10" t="s">
        <v>85</v>
      </c>
      <c r="E35" s="10" t="s">
        <v>18</v>
      </c>
      <c r="F35" s="10" t="s">
        <v>22</v>
      </c>
      <c r="G35" s="10" t="s">
        <v>39</v>
      </c>
      <c r="H35" s="8" t="n">
        <v>72</v>
      </c>
      <c r="I35" s="10" t="s">
        <v>86</v>
      </c>
    </row>
  </sheetData>
  <mergeCells count="16">
    <mergeCell ref="A1:H1"/>
    <mergeCell ref="A2:H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9:L9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24"/>
    <col collapsed="false" customWidth="true" hidden="false" outlineLevel="0" max="8" min="8" style="0" width="8"/>
    <col collapsed="false" customWidth="true" hidden="false" outlineLevel="0" max="9" min="9" style="0" width="42"/>
    <col collapsed="false" customWidth="true" hidden="false" outlineLevel="0" max="10" min="10" style="0" width="38"/>
  </cols>
  <sheetData>
    <row r="1" customFormat="false" ht="22.0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20" t="s">
        <v>27</v>
      </c>
      <c r="B4" s="20" t="s">
        <v>28</v>
      </c>
      <c r="C4" s="20" t="s">
        <v>29</v>
      </c>
      <c r="D4" s="20" t="s">
        <v>30</v>
      </c>
      <c r="E4" s="20" t="s">
        <v>31</v>
      </c>
      <c r="F4" s="20" t="s">
        <v>32</v>
      </c>
      <c r="G4" s="20" t="s">
        <v>33</v>
      </c>
      <c r="H4" s="20" t="s">
        <v>34</v>
      </c>
      <c r="I4" s="20" t="s">
        <v>35</v>
      </c>
      <c r="J4" s="20" t="s">
        <v>89</v>
      </c>
    </row>
    <row r="5" customFormat="false" ht="15" hidden="false" customHeight="false" outlineLevel="0" collapsed="false">
      <c r="A5" s="21" t="n">
        <v>1</v>
      </c>
      <c r="B5" s="22" t="s">
        <v>36</v>
      </c>
      <c r="C5" s="22" t="s">
        <v>37</v>
      </c>
      <c r="D5" s="22" t="s">
        <v>38</v>
      </c>
      <c r="E5" s="22" t="s">
        <v>15</v>
      </c>
      <c r="F5" s="22" t="s">
        <v>16</v>
      </c>
      <c r="G5" s="22" t="s">
        <v>39</v>
      </c>
      <c r="H5" s="21" t="n">
        <v>95</v>
      </c>
      <c r="I5" s="23" t="s">
        <v>40</v>
      </c>
      <c r="J5" s="23" t="s">
        <v>90</v>
      </c>
    </row>
    <row r="6" customFormat="false" ht="15" hidden="false" customHeight="false" outlineLevel="0" collapsed="false">
      <c r="A6" s="24" t="n">
        <v>2</v>
      </c>
      <c r="B6" s="25" t="s">
        <v>41</v>
      </c>
      <c r="C6" s="25" t="s">
        <v>42</v>
      </c>
      <c r="D6" s="25" t="s">
        <v>43</v>
      </c>
      <c r="E6" s="25" t="s">
        <v>15</v>
      </c>
      <c r="F6" s="25" t="s">
        <v>16</v>
      </c>
      <c r="G6" s="25" t="s">
        <v>39</v>
      </c>
      <c r="H6" s="24" t="n">
        <v>95</v>
      </c>
      <c r="I6" s="26" t="s">
        <v>40</v>
      </c>
      <c r="J6" s="26" t="s">
        <v>90</v>
      </c>
    </row>
    <row r="7" customFormat="false" ht="15" hidden="false" customHeight="false" outlineLevel="0" collapsed="false">
      <c r="A7" s="21" t="n">
        <v>3</v>
      </c>
      <c r="B7" s="22" t="s">
        <v>44</v>
      </c>
      <c r="C7" s="22" t="s">
        <v>45</v>
      </c>
      <c r="D7" s="22" t="s">
        <v>46</v>
      </c>
      <c r="E7" s="22" t="s">
        <v>15</v>
      </c>
      <c r="F7" s="22" t="s">
        <v>16</v>
      </c>
      <c r="G7" s="22" t="s">
        <v>39</v>
      </c>
      <c r="H7" s="21" t="n">
        <v>95</v>
      </c>
      <c r="I7" s="23" t="s">
        <v>40</v>
      </c>
      <c r="J7" s="23" t="s">
        <v>90</v>
      </c>
    </row>
    <row r="8" customFormat="false" ht="15" hidden="false" customHeight="false" outlineLevel="0" collapsed="false">
      <c r="A8" s="24" t="n">
        <v>4</v>
      </c>
      <c r="B8" s="25" t="s">
        <v>47</v>
      </c>
      <c r="C8" s="25" t="s">
        <v>48</v>
      </c>
      <c r="D8" s="25" t="s">
        <v>49</v>
      </c>
      <c r="E8" s="25" t="s">
        <v>15</v>
      </c>
      <c r="F8" s="25" t="s">
        <v>16</v>
      </c>
      <c r="G8" s="25" t="s">
        <v>39</v>
      </c>
      <c r="H8" s="24" t="n">
        <v>95</v>
      </c>
      <c r="I8" s="26" t="s">
        <v>40</v>
      </c>
      <c r="J8" s="26" t="s">
        <v>90</v>
      </c>
    </row>
    <row r="9" customFormat="false" ht="15" hidden="false" customHeight="false" outlineLevel="0" collapsed="false">
      <c r="A9" s="21" t="n">
        <v>5</v>
      </c>
      <c r="B9" s="22" t="s">
        <v>50</v>
      </c>
      <c r="C9" s="22"/>
      <c r="D9" s="22" t="s">
        <v>51</v>
      </c>
      <c r="E9" s="22" t="s">
        <v>15</v>
      </c>
      <c r="F9" s="22" t="s">
        <v>16</v>
      </c>
      <c r="G9" s="22" t="s">
        <v>39</v>
      </c>
      <c r="H9" s="21" t="n">
        <v>95</v>
      </c>
      <c r="I9" s="23" t="s">
        <v>40</v>
      </c>
      <c r="J9" s="23" t="s">
        <v>90</v>
      </c>
    </row>
    <row r="10" customFormat="false" ht="15" hidden="false" customHeight="false" outlineLevel="0" collapsed="false">
      <c r="A10" s="24" t="n">
        <v>6</v>
      </c>
      <c r="B10" s="25" t="s">
        <v>52</v>
      </c>
      <c r="C10" s="25" t="s">
        <v>53</v>
      </c>
      <c r="D10" s="25" t="s">
        <v>54</v>
      </c>
      <c r="E10" s="25" t="s">
        <v>15</v>
      </c>
      <c r="F10" s="25" t="s">
        <v>16</v>
      </c>
      <c r="G10" s="25" t="s">
        <v>55</v>
      </c>
      <c r="H10" s="24" t="n">
        <v>90</v>
      </c>
      <c r="I10" s="26" t="s">
        <v>56</v>
      </c>
      <c r="J10" s="26" t="s">
        <v>90</v>
      </c>
    </row>
    <row r="11" customFormat="false" ht="15" hidden="false" customHeight="false" outlineLevel="0" collapsed="false">
      <c r="A11" s="21" t="n">
        <v>7</v>
      </c>
      <c r="B11" s="22" t="s">
        <v>57</v>
      </c>
      <c r="C11" s="22" t="s">
        <v>58</v>
      </c>
      <c r="D11" s="22" t="s">
        <v>59</v>
      </c>
      <c r="E11" s="22" t="s">
        <v>15</v>
      </c>
      <c r="F11" s="22" t="s">
        <v>22</v>
      </c>
      <c r="G11" s="22" t="s">
        <v>39</v>
      </c>
      <c r="H11" s="21" t="n">
        <v>87</v>
      </c>
      <c r="I11" s="23" t="s">
        <v>60</v>
      </c>
      <c r="J11" s="23" t="s">
        <v>90</v>
      </c>
    </row>
    <row r="12" customFormat="false" ht="15" hidden="false" customHeight="false" outlineLevel="0" collapsed="false">
      <c r="A12" s="24" t="n">
        <v>8</v>
      </c>
      <c r="B12" s="25" t="s">
        <v>61</v>
      </c>
      <c r="C12" s="25" t="s">
        <v>62</v>
      </c>
      <c r="D12" s="25" t="s">
        <v>63</v>
      </c>
      <c r="E12" s="25" t="s">
        <v>15</v>
      </c>
      <c r="F12" s="25" t="s">
        <v>19</v>
      </c>
      <c r="G12" s="25" t="s">
        <v>55</v>
      </c>
      <c r="H12" s="24" t="n">
        <v>85</v>
      </c>
      <c r="I12" s="26" t="s">
        <v>64</v>
      </c>
      <c r="J12" s="26" t="s">
        <v>90</v>
      </c>
    </row>
    <row r="13" customFormat="false" ht="15" hidden="false" customHeight="false" outlineLevel="0" collapsed="false">
      <c r="A13" s="21" t="n">
        <v>9</v>
      </c>
      <c r="B13" s="22" t="s">
        <v>65</v>
      </c>
      <c r="C13" s="22" t="s">
        <v>66</v>
      </c>
      <c r="D13" s="22" t="s">
        <v>67</v>
      </c>
      <c r="E13" s="22" t="s">
        <v>18</v>
      </c>
      <c r="F13" s="22" t="s">
        <v>16</v>
      </c>
      <c r="G13" s="22" t="s">
        <v>39</v>
      </c>
      <c r="H13" s="21" t="n">
        <v>80</v>
      </c>
      <c r="I13" s="23" t="s">
        <v>68</v>
      </c>
      <c r="J13" s="23" t="s">
        <v>90</v>
      </c>
    </row>
    <row r="14" customFormat="false" ht="15" hidden="false" customHeight="false" outlineLevel="0" collapsed="false">
      <c r="A14" s="24" t="n">
        <v>10</v>
      </c>
      <c r="B14" s="25" t="s">
        <v>69</v>
      </c>
      <c r="C14" s="25" t="s">
        <v>70</v>
      </c>
      <c r="D14" s="25" t="s">
        <v>71</v>
      </c>
      <c r="E14" s="25" t="s">
        <v>18</v>
      </c>
      <c r="F14" s="25" t="s">
        <v>16</v>
      </c>
      <c r="G14" s="25" t="s">
        <v>39</v>
      </c>
      <c r="H14" s="24" t="n">
        <v>80</v>
      </c>
      <c r="I14" s="26" t="s">
        <v>68</v>
      </c>
      <c r="J14" s="26" t="s">
        <v>90</v>
      </c>
    </row>
    <row r="15" customFormat="false" ht="15" hidden="false" customHeight="false" outlineLevel="0" collapsed="false">
      <c r="A15" s="21" t="n">
        <v>11</v>
      </c>
      <c r="B15" s="22" t="s">
        <v>72</v>
      </c>
      <c r="C15" s="22" t="s">
        <v>73</v>
      </c>
      <c r="D15" s="22" t="s">
        <v>74</v>
      </c>
      <c r="E15" s="22" t="s">
        <v>18</v>
      </c>
      <c r="F15" s="22" t="s">
        <v>16</v>
      </c>
      <c r="G15" s="22" t="s">
        <v>39</v>
      </c>
      <c r="H15" s="21" t="n">
        <v>80</v>
      </c>
      <c r="I15" s="23" t="s">
        <v>68</v>
      </c>
      <c r="J15" s="23" t="s">
        <v>90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8" min="7" style="0" width="24"/>
    <col collapsed="false" customWidth="true" hidden="false" outlineLevel="0" max="12" min="9" style="0" width="8"/>
    <col collapsed="false" customWidth="true" hidden="false" outlineLevel="0" max="13" min="13" style="0" width="2"/>
    <col collapsed="false" customWidth="true" hidden="false" outlineLevel="0" max="14" min="14" style="0" width="10"/>
    <col collapsed="false" customWidth="true" hidden="false" outlineLevel="0" max="15" min="15" style="0" width="38"/>
    <col collapsed="false" customWidth="true" hidden="false" outlineLevel="0" max="16" min="16" style="0" width="26"/>
    <col collapsed="false" customWidth="true" hidden="false" outlineLevel="0" max="17" min="17" style="0" width="36"/>
  </cols>
  <sheetData>
    <row r="1" customFormat="false" ht="30" hidden="false" customHeight="true" outlineLevel="0" collapsed="false">
      <c r="A1" s="27" t="s">
        <v>27</v>
      </c>
      <c r="B1" s="27" t="s">
        <v>28</v>
      </c>
      <c r="C1" s="27" t="s">
        <v>29</v>
      </c>
      <c r="D1" s="27" t="s">
        <v>30</v>
      </c>
      <c r="E1" s="27" t="s">
        <v>91</v>
      </c>
      <c r="F1" s="27" t="s">
        <v>32</v>
      </c>
      <c r="G1" s="27" t="s">
        <v>33</v>
      </c>
      <c r="H1" s="27" t="s">
        <v>31</v>
      </c>
      <c r="I1" s="27" t="s">
        <v>92</v>
      </c>
      <c r="J1" s="27" t="s">
        <v>93</v>
      </c>
      <c r="K1" s="27" t="s">
        <v>94</v>
      </c>
      <c r="L1" s="27" t="s">
        <v>95</v>
      </c>
      <c r="M1" s="27"/>
      <c r="N1" s="27" t="s">
        <v>96</v>
      </c>
      <c r="O1" s="27" t="s">
        <v>97</v>
      </c>
      <c r="P1" s="27" t="s">
        <v>9</v>
      </c>
      <c r="Q1" s="27" t="s">
        <v>89</v>
      </c>
    </row>
    <row r="2" customFormat="false" ht="15" hidden="false" customHeight="false" outlineLevel="0" collapsed="false">
      <c r="A2" s="24" t="n">
        <v>1</v>
      </c>
      <c r="B2" s="24" t="s">
        <v>36</v>
      </c>
      <c r="C2" s="24" t="s">
        <v>37</v>
      </c>
      <c r="D2" s="24" t="s">
        <v>38</v>
      </c>
      <c r="E2" s="24" t="s">
        <v>98</v>
      </c>
      <c r="F2" s="24" t="s">
        <v>16</v>
      </c>
      <c r="G2" s="24" t="s">
        <v>39</v>
      </c>
      <c r="H2" s="24" t="s">
        <v>15</v>
      </c>
      <c r="I2" s="24" t="n">
        <v>20</v>
      </c>
      <c r="J2" s="24" t="n">
        <v>30</v>
      </c>
      <c r="K2" s="24" t="n">
        <v>40</v>
      </c>
      <c r="L2" s="24" t="n">
        <v>5</v>
      </c>
      <c r="M2" s="24"/>
      <c r="N2" s="24" t="n">
        <f aca="false">I2+J2+K2+L2</f>
        <v>95</v>
      </c>
      <c r="O2" s="24" t="s">
        <v>40</v>
      </c>
      <c r="P2" s="24" t="s">
        <v>14</v>
      </c>
      <c r="Q2" s="26" t="s">
        <v>90</v>
      </c>
    </row>
    <row r="3" customFormat="false" ht="15" hidden="false" customHeight="false" outlineLevel="0" collapsed="false">
      <c r="A3" s="21" t="n">
        <v>2</v>
      </c>
      <c r="B3" s="22" t="s">
        <v>41</v>
      </c>
      <c r="C3" s="22" t="s">
        <v>42</v>
      </c>
      <c r="D3" s="22" t="s">
        <v>43</v>
      </c>
      <c r="E3" s="22" t="s">
        <v>99</v>
      </c>
      <c r="F3" s="22" t="s">
        <v>16</v>
      </c>
      <c r="G3" s="22" t="s">
        <v>39</v>
      </c>
      <c r="H3" s="22" t="s">
        <v>15</v>
      </c>
      <c r="I3" s="21" t="n">
        <v>20</v>
      </c>
      <c r="J3" s="21" t="n">
        <v>30</v>
      </c>
      <c r="K3" s="21" t="n">
        <v>40</v>
      </c>
      <c r="L3" s="21" t="n">
        <v>5</v>
      </c>
      <c r="N3" s="28" t="n">
        <f aca="false">I3+J3+K3+L3</f>
        <v>95</v>
      </c>
      <c r="O3" s="23" t="s">
        <v>40</v>
      </c>
      <c r="P3" s="22" t="s">
        <v>14</v>
      </c>
      <c r="Q3" s="23" t="s">
        <v>90</v>
      </c>
    </row>
    <row r="4" customFormat="false" ht="15" hidden="false" customHeight="false" outlineLevel="0" collapsed="false">
      <c r="A4" s="24" t="n">
        <v>3</v>
      </c>
      <c r="B4" s="25" t="s">
        <v>44</v>
      </c>
      <c r="C4" s="25" t="s">
        <v>45</v>
      </c>
      <c r="D4" s="25" t="s">
        <v>46</v>
      </c>
      <c r="E4" s="25" t="s">
        <v>100</v>
      </c>
      <c r="F4" s="25" t="s">
        <v>16</v>
      </c>
      <c r="G4" s="25" t="s">
        <v>39</v>
      </c>
      <c r="H4" s="25" t="s">
        <v>15</v>
      </c>
      <c r="I4" s="24" t="n">
        <v>20</v>
      </c>
      <c r="J4" s="24" t="n">
        <v>30</v>
      </c>
      <c r="K4" s="24" t="n">
        <v>40</v>
      </c>
      <c r="L4" s="24" t="n">
        <v>5</v>
      </c>
      <c r="N4" s="29" t="n">
        <f aca="false">I4+J4+K4+L4</f>
        <v>95</v>
      </c>
      <c r="O4" s="26" t="s">
        <v>40</v>
      </c>
      <c r="P4" s="25" t="s">
        <v>14</v>
      </c>
      <c r="Q4" s="26" t="s">
        <v>90</v>
      </c>
    </row>
    <row r="5" customFormat="false" ht="15" hidden="false" customHeight="false" outlineLevel="0" collapsed="false">
      <c r="A5" s="21" t="n">
        <v>4</v>
      </c>
      <c r="B5" s="22" t="s">
        <v>47</v>
      </c>
      <c r="C5" s="22" t="s">
        <v>48</v>
      </c>
      <c r="D5" s="22" t="s">
        <v>49</v>
      </c>
      <c r="E5" s="22" t="s">
        <v>101</v>
      </c>
      <c r="F5" s="22" t="s">
        <v>16</v>
      </c>
      <c r="G5" s="22" t="s">
        <v>39</v>
      </c>
      <c r="H5" s="22" t="s">
        <v>15</v>
      </c>
      <c r="I5" s="21" t="n">
        <v>20</v>
      </c>
      <c r="J5" s="21" t="n">
        <v>30</v>
      </c>
      <c r="K5" s="21" t="n">
        <v>40</v>
      </c>
      <c r="L5" s="21" t="n">
        <v>5</v>
      </c>
      <c r="N5" s="28" t="n">
        <f aca="false">I5+J5+K5+L5</f>
        <v>95</v>
      </c>
      <c r="O5" s="23" t="s">
        <v>40</v>
      </c>
      <c r="P5" s="22" t="s">
        <v>14</v>
      </c>
      <c r="Q5" s="23" t="s">
        <v>90</v>
      </c>
    </row>
    <row r="6" customFormat="false" ht="15" hidden="false" customHeight="false" outlineLevel="0" collapsed="false">
      <c r="A6" s="24" t="n">
        <v>5</v>
      </c>
      <c r="B6" s="25" t="s">
        <v>50</v>
      </c>
      <c r="C6" s="25"/>
      <c r="D6" s="25" t="s">
        <v>51</v>
      </c>
      <c r="E6" s="25" t="s">
        <v>102</v>
      </c>
      <c r="F6" s="25" t="s">
        <v>16</v>
      </c>
      <c r="G6" s="25" t="s">
        <v>39</v>
      </c>
      <c r="H6" s="25" t="s">
        <v>15</v>
      </c>
      <c r="I6" s="24" t="n">
        <v>20</v>
      </c>
      <c r="J6" s="24" t="n">
        <v>30</v>
      </c>
      <c r="K6" s="24" t="n">
        <v>40</v>
      </c>
      <c r="L6" s="24" t="n">
        <v>5</v>
      </c>
      <c r="N6" s="29" t="n">
        <f aca="false">I6+J6+K6+L6</f>
        <v>95</v>
      </c>
      <c r="O6" s="26" t="s">
        <v>40</v>
      </c>
      <c r="P6" s="25" t="s">
        <v>14</v>
      </c>
      <c r="Q6" s="26" t="s">
        <v>90</v>
      </c>
    </row>
    <row r="7" customFormat="false" ht="23.85" hidden="false" customHeight="false" outlineLevel="0" collapsed="false">
      <c r="A7" s="21" t="n">
        <v>6</v>
      </c>
      <c r="B7" s="22" t="s">
        <v>52</v>
      </c>
      <c r="C7" s="22" t="s">
        <v>53</v>
      </c>
      <c r="D7" s="22" t="s">
        <v>54</v>
      </c>
      <c r="E7" s="22" t="s">
        <v>103</v>
      </c>
      <c r="F7" s="22" t="s">
        <v>16</v>
      </c>
      <c r="G7" s="22" t="s">
        <v>55</v>
      </c>
      <c r="H7" s="22" t="s">
        <v>15</v>
      </c>
      <c r="I7" s="21" t="n">
        <v>20</v>
      </c>
      <c r="J7" s="21" t="n">
        <v>25</v>
      </c>
      <c r="K7" s="21" t="n">
        <v>40</v>
      </c>
      <c r="L7" s="21" t="n">
        <v>5</v>
      </c>
      <c r="N7" s="28" t="n">
        <f aca="false">I7+J7+K7+L7</f>
        <v>90</v>
      </c>
      <c r="O7" s="23" t="s">
        <v>56</v>
      </c>
      <c r="P7" s="22" t="s">
        <v>14</v>
      </c>
      <c r="Q7" s="23" t="s">
        <v>90</v>
      </c>
    </row>
    <row r="8" customFormat="false" ht="23.85" hidden="false" customHeight="false" outlineLevel="0" collapsed="false">
      <c r="A8" s="24" t="n">
        <v>7</v>
      </c>
      <c r="B8" s="25" t="s">
        <v>57</v>
      </c>
      <c r="C8" s="25" t="s">
        <v>58</v>
      </c>
      <c r="D8" s="25" t="s">
        <v>59</v>
      </c>
      <c r="E8" s="25" t="s">
        <v>104</v>
      </c>
      <c r="F8" s="25" t="s">
        <v>22</v>
      </c>
      <c r="G8" s="25" t="s">
        <v>39</v>
      </c>
      <c r="H8" s="25" t="s">
        <v>15</v>
      </c>
      <c r="I8" s="24" t="n">
        <v>12</v>
      </c>
      <c r="J8" s="24" t="n">
        <v>30</v>
      </c>
      <c r="K8" s="24" t="n">
        <v>40</v>
      </c>
      <c r="L8" s="24" t="n">
        <v>5</v>
      </c>
      <c r="N8" s="29" t="n">
        <f aca="false">I8+J8+K8+L8</f>
        <v>87</v>
      </c>
      <c r="O8" s="26" t="s">
        <v>60</v>
      </c>
      <c r="P8" s="25" t="s">
        <v>14</v>
      </c>
      <c r="Q8" s="26" t="s">
        <v>90</v>
      </c>
    </row>
    <row r="9" customFormat="false" ht="23.85" hidden="false" customHeight="false" outlineLevel="0" collapsed="false">
      <c r="A9" s="21" t="n">
        <v>8</v>
      </c>
      <c r="B9" s="22" t="s">
        <v>61</v>
      </c>
      <c r="C9" s="22" t="s">
        <v>62</v>
      </c>
      <c r="D9" s="22" t="s">
        <v>63</v>
      </c>
      <c r="E9" s="22" t="s">
        <v>105</v>
      </c>
      <c r="F9" s="22" t="s">
        <v>19</v>
      </c>
      <c r="G9" s="22" t="s">
        <v>55</v>
      </c>
      <c r="H9" s="22" t="s">
        <v>15</v>
      </c>
      <c r="I9" s="21" t="n">
        <v>15</v>
      </c>
      <c r="J9" s="21" t="n">
        <v>25</v>
      </c>
      <c r="K9" s="21" t="n">
        <v>40</v>
      </c>
      <c r="L9" s="21" t="n">
        <v>5</v>
      </c>
      <c r="N9" s="28" t="n">
        <f aca="false">I9+J9+K9+L9</f>
        <v>85</v>
      </c>
      <c r="O9" s="23" t="s">
        <v>64</v>
      </c>
      <c r="P9" s="22" t="s">
        <v>14</v>
      </c>
      <c r="Q9" s="23" t="s">
        <v>90</v>
      </c>
    </row>
    <row r="10" customFormat="false" ht="15" hidden="false" customHeight="false" outlineLevel="0" collapsed="false">
      <c r="A10" s="24" t="n">
        <v>9</v>
      </c>
      <c r="B10" s="25" t="s">
        <v>65</v>
      </c>
      <c r="C10" s="25" t="s">
        <v>66</v>
      </c>
      <c r="D10" s="25" t="s">
        <v>67</v>
      </c>
      <c r="E10" s="25" t="s">
        <v>106</v>
      </c>
      <c r="F10" s="25" t="s">
        <v>16</v>
      </c>
      <c r="G10" s="25" t="s">
        <v>39</v>
      </c>
      <c r="H10" s="25" t="s">
        <v>18</v>
      </c>
      <c r="I10" s="24" t="n">
        <v>20</v>
      </c>
      <c r="J10" s="24" t="n">
        <v>30</v>
      </c>
      <c r="K10" s="24" t="n">
        <v>25</v>
      </c>
      <c r="L10" s="24" t="n">
        <v>5</v>
      </c>
      <c r="N10" s="29" t="n">
        <f aca="false">I10+J10+K10+L10</f>
        <v>80</v>
      </c>
      <c r="O10" s="26" t="s">
        <v>68</v>
      </c>
      <c r="P10" s="25" t="s">
        <v>14</v>
      </c>
      <c r="Q10" s="26" t="s">
        <v>90</v>
      </c>
    </row>
    <row r="11" customFormat="false" ht="15" hidden="false" customHeight="false" outlineLevel="0" collapsed="false">
      <c r="A11" s="21" t="n">
        <v>10</v>
      </c>
      <c r="B11" s="22" t="s">
        <v>69</v>
      </c>
      <c r="C11" s="22" t="s">
        <v>70</v>
      </c>
      <c r="D11" s="22" t="s">
        <v>71</v>
      </c>
      <c r="E11" s="22" t="s">
        <v>107</v>
      </c>
      <c r="F11" s="22" t="s">
        <v>16</v>
      </c>
      <c r="G11" s="22" t="s">
        <v>39</v>
      </c>
      <c r="H11" s="22" t="s">
        <v>18</v>
      </c>
      <c r="I11" s="21" t="n">
        <v>20</v>
      </c>
      <c r="J11" s="21" t="n">
        <v>30</v>
      </c>
      <c r="K11" s="21" t="n">
        <v>25</v>
      </c>
      <c r="L11" s="21" t="n">
        <v>5</v>
      </c>
      <c r="N11" s="28" t="n">
        <f aca="false">I11+J11+K11+L11</f>
        <v>80</v>
      </c>
      <c r="O11" s="23" t="s">
        <v>68</v>
      </c>
      <c r="P11" s="22" t="s">
        <v>14</v>
      </c>
      <c r="Q11" s="23" t="s">
        <v>90</v>
      </c>
    </row>
    <row r="12" customFormat="false" ht="15" hidden="false" customHeight="false" outlineLevel="0" collapsed="false">
      <c r="A12" s="24" t="n">
        <v>11</v>
      </c>
      <c r="B12" s="25" t="s">
        <v>72</v>
      </c>
      <c r="C12" s="25" t="s">
        <v>73</v>
      </c>
      <c r="D12" s="25" t="s">
        <v>74</v>
      </c>
      <c r="E12" s="25" t="s">
        <v>108</v>
      </c>
      <c r="F12" s="25" t="s">
        <v>16</v>
      </c>
      <c r="G12" s="25" t="s">
        <v>39</v>
      </c>
      <c r="H12" s="25" t="s">
        <v>18</v>
      </c>
      <c r="I12" s="24" t="n">
        <v>20</v>
      </c>
      <c r="J12" s="24" t="n">
        <v>30</v>
      </c>
      <c r="K12" s="24" t="n">
        <v>25</v>
      </c>
      <c r="L12" s="24" t="n">
        <v>5</v>
      </c>
      <c r="N12" s="29" t="n">
        <f aca="false">I12+J12+K12+L12</f>
        <v>80</v>
      </c>
      <c r="O12" s="26" t="s">
        <v>68</v>
      </c>
      <c r="P12" s="25" t="s">
        <v>14</v>
      </c>
      <c r="Q12" s="26" t="s">
        <v>90</v>
      </c>
    </row>
    <row r="13" customFormat="false" ht="23.85" hidden="false" customHeight="false" outlineLevel="0" collapsed="false">
      <c r="A13" s="21" t="n">
        <v>12</v>
      </c>
      <c r="B13" s="22" t="s">
        <v>75</v>
      </c>
      <c r="C13" s="22" t="s">
        <v>76</v>
      </c>
      <c r="D13" s="22" t="s">
        <v>77</v>
      </c>
      <c r="E13" s="22" t="s">
        <v>109</v>
      </c>
      <c r="F13" s="22" t="s">
        <v>16</v>
      </c>
      <c r="G13" s="22" t="s">
        <v>55</v>
      </c>
      <c r="H13" s="22" t="s">
        <v>18</v>
      </c>
      <c r="I13" s="21" t="n">
        <v>20</v>
      </c>
      <c r="J13" s="21" t="n">
        <v>25</v>
      </c>
      <c r="K13" s="21" t="n">
        <v>25</v>
      </c>
      <c r="L13" s="21" t="n">
        <v>5</v>
      </c>
      <c r="N13" s="28" t="n">
        <f aca="false">I13+J13+K13+L13</f>
        <v>75</v>
      </c>
      <c r="O13" s="23" t="s">
        <v>78</v>
      </c>
      <c r="P13" s="22" t="s">
        <v>17</v>
      </c>
      <c r="Q13" s="23" t="s">
        <v>110</v>
      </c>
    </row>
    <row r="14" customFormat="false" ht="23.85" hidden="false" customHeight="false" outlineLevel="0" collapsed="false">
      <c r="A14" s="24" t="n">
        <v>13</v>
      </c>
      <c r="B14" s="25" t="s">
        <v>79</v>
      </c>
      <c r="C14" s="25" t="s">
        <v>80</v>
      </c>
      <c r="D14" s="25" t="s">
        <v>81</v>
      </c>
      <c r="E14" s="25" t="s">
        <v>111</v>
      </c>
      <c r="F14" s="25" t="s">
        <v>19</v>
      </c>
      <c r="G14" s="25" t="s">
        <v>39</v>
      </c>
      <c r="H14" s="25" t="s">
        <v>18</v>
      </c>
      <c r="I14" s="24" t="n">
        <v>15</v>
      </c>
      <c r="J14" s="24" t="n">
        <v>30</v>
      </c>
      <c r="K14" s="24" t="n">
        <v>25</v>
      </c>
      <c r="L14" s="24" t="n">
        <v>5</v>
      </c>
      <c r="N14" s="29" t="n">
        <f aca="false">I14+J14+K14+L14</f>
        <v>75</v>
      </c>
      <c r="O14" s="26" t="s">
        <v>82</v>
      </c>
      <c r="P14" s="25" t="s">
        <v>17</v>
      </c>
      <c r="Q14" s="26" t="s">
        <v>110</v>
      </c>
    </row>
    <row r="15" customFormat="false" ht="23.85" hidden="false" customHeight="false" outlineLevel="0" collapsed="false">
      <c r="A15" s="21" t="n">
        <v>14</v>
      </c>
      <c r="B15" s="22" t="s">
        <v>83</v>
      </c>
      <c r="C15" s="22" t="s">
        <v>70</v>
      </c>
      <c r="D15" s="22" t="s">
        <v>71</v>
      </c>
      <c r="E15" s="22" t="s">
        <v>112</v>
      </c>
      <c r="F15" s="22" t="s">
        <v>19</v>
      </c>
      <c r="G15" s="22" t="s">
        <v>39</v>
      </c>
      <c r="H15" s="22" t="s">
        <v>18</v>
      </c>
      <c r="I15" s="21" t="n">
        <v>15</v>
      </c>
      <c r="J15" s="21" t="n">
        <v>30</v>
      </c>
      <c r="K15" s="21" t="n">
        <v>25</v>
      </c>
      <c r="L15" s="21" t="n">
        <v>5</v>
      </c>
      <c r="N15" s="28" t="n">
        <f aca="false">I15+J15+K15+L15</f>
        <v>75</v>
      </c>
      <c r="O15" s="23" t="s">
        <v>82</v>
      </c>
      <c r="P15" s="22" t="s">
        <v>17</v>
      </c>
      <c r="Q15" s="23" t="s">
        <v>110</v>
      </c>
    </row>
    <row r="16" customFormat="false" ht="23.85" hidden="false" customHeight="false" outlineLevel="0" collapsed="false">
      <c r="A16" s="24" t="n">
        <v>15</v>
      </c>
      <c r="B16" s="25" t="s">
        <v>84</v>
      </c>
      <c r="C16" s="25"/>
      <c r="D16" s="25" t="s">
        <v>85</v>
      </c>
      <c r="E16" s="25" t="s">
        <v>113</v>
      </c>
      <c r="F16" s="25" t="s">
        <v>22</v>
      </c>
      <c r="G16" s="25" t="s">
        <v>39</v>
      </c>
      <c r="H16" s="25" t="s">
        <v>18</v>
      </c>
      <c r="I16" s="24" t="n">
        <v>12</v>
      </c>
      <c r="J16" s="24" t="n">
        <v>30</v>
      </c>
      <c r="K16" s="24" t="n">
        <v>25</v>
      </c>
      <c r="L16" s="24" t="n">
        <v>5</v>
      </c>
      <c r="N16" s="29" t="n">
        <f aca="false">I16+J16+K16+L16</f>
        <v>72</v>
      </c>
      <c r="O16" s="26" t="s">
        <v>86</v>
      </c>
      <c r="P16" s="25" t="s">
        <v>17</v>
      </c>
      <c r="Q16" s="26" t="s">
        <v>110</v>
      </c>
    </row>
    <row r="17" customFormat="false" ht="23.85" hidden="false" customHeight="false" outlineLevel="0" collapsed="false">
      <c r="A17" s="21" t="n">
        <v>16</v>
      </c>
      <c r="B17" s="22" t="s">
        <v>114</v>
      </c>
      <c r="C17" s="22" t="s">
        <v>115</v>
      </c>
      <c r="D17" s="22" t="s">
        <v>116</v>
      </c>
      <c r="E17" s="22" t="s">
        <v>117</v>
      </c>
      <c r="F17" s="22" t="s">
        <v>22</v>
      </c>
      <c r="G17" s="22" t="s">
        <v>55</v>
      </c>
      <c r="H17" s="22" t="s">
        <v>18</v>
      </c>
      <c r="I17" s="21" t="n">
        <v>12</v>
      </c>
      <c r="J17" s="21" t="n">
        <v>25</v>
      </c>
      <c r="K17" s="21" t="n">
        <v>25</v>
      </c>
      <c r="L17" s="21" t="n">
        <v>5</v>
      </c>
      <c r="N17" s="28" t="n">
        <f aca="false">I17+J17+K17+L17</f>
        <v>67</v>
      </c>
      <c r="O17" s="23" t="s">
        <v>118</v>
      </c>
      <c r="P17" s="22" t="s">
        <v>17</v>
      </c>
      <c r="Q17" s="23" t="s">
        <v>110</v>
      </c>
    </row>
    <row r="18" customFormat="false" ht="23.85" hidden="false" customHeight="false" outlineLevel="0" collapsed="false">
      <c r="A18" s="24" t="n">
        <v>17</v>
      </c>
      <c r="B18" s="25" t="s">
        <v>119</v>
      </c>
      <c r="C18" s="25" t="s">
        <v>120</v>
      </c>
      <c r="D18" s="25" t="s">
        <v>121</v>
      </c>
      <c r="E18" s="25" t="s">
        <v>122</v>
      </c>
      <c r="F18" s="25" t="s">
        <v>123</v>
      </c>
      <c r="G18" s="25" t="s">
        <v>39</v>
      </c>
      <c r="H18" s="25" t="s">
        <v>18</v>
      </c>
      <c r="I18" s="24" t="n">
        <v>5</v>
      </c>
      <c r="J18" s="24" t="n">
        <v>30</v>
      </c>
      <c r="K18" s="24" t="n">
        <v>25</v>
      </c>
      <c r="L18" s="24" t="n">
        <v>5</v>
      </c>
      <c r="N18" s="29" t="n">
        <f aca="false">I18+J18+K18+L18</f>
        <v>65</v>
      </c>
      <c r="O18" s="26" t="s">
        <v>124</v>
      </c>
      <c r="P18" s="25" t="s">
        <v>17</v>
      </c>
      <c r="Q18" s="26" t="s">
        <v>110</v>
      </c>
    </row>
    <row r="19" customFormat="false" ht="23.85" hidden="false" customHeight="false" outlineLevel="0" collapsed="false">
      <c r="A19" s="21" t="n">
        <v>18</v>
      </c>
      <c r="B19" s="22" t="s">
        <v>125</v>
      </c>
      <c r="C19" s="22" t="s">
        <v>126</v>
      </c>
      <c r="D19" s="22" t="s">
        <v>127</v>
      </c>
      <c r="E19" s="22" t="s">
        <v>128</v>
      </c>
      <c r="F19" s="22" t="s">
        <v>19</v>
      </c>
      <c r="G19" s="22" t="s">
        <v>129</v>
      </c>
      <c r="H19" s="22" t="s">
        <v>18</v>
      </c>
      <c r="I19" s="21" t="n">
        <v>15</v>
      </c>
      <c r="J19" s="21" t="n">
        <v>20</v>
      </c>
      <c r="K19" s="21" t="n">
        <v>25</v>
      </c>
      <c r="L19" s="21" t="n">
        <v>5</v>
      </c>
      <c r="N19" s="28" t="n">
        <f aca="false">I19+J19+K19+L19</f>
        <v>65</v>
      </c>
      <c r="O19" s="23" t="s">
        <v>130</v>
      </c>
      <c r="P19" s="22" t="s">
        <v>17</v>
      </c>
      <c r="Q19" s="23" t="s">
        <v>110</v>
      </c>
    </row>
    <row r="20" customFormat="false" ht="23.85" hidden="false" customHeight="false" outlineLevel="0" collapsed="false">
      <c r="A20" s="24" t="n">
        <v>19</v>
      </c>
      <c r="B20" s="25" t="s">
        <v>131</v>
      </c>
      <c r="C20" s="25" t="s">
        <v>132</v>
      </c>
      <c r="D20" s="25" t="s">
        <v>133</v>
      </c>
      <c r="E20" s="25" t="s">
        <v>134</v>
      </c>
      <c r="F20" s="25" t="s">
        <v>123</v>
      </c>
      <c r="G20" s="25" t="s">
        <v>39</v>
      </c>
      <c r="H20" s="25" t="s">
        <v>18</v>
      </c>
      <c r="I20" s="24" t="n">
        <v>5</v>
      </c>
      <c r="J20" s="24" t="n">
        <v>30</v>
      </c>
      <c r="K20" s="24" t="n">
        <v>25</v>
      </c>
      <c r="L20" s="24" t="n">
        <v>5</v>
      </c>
      <c r="N20" s="29" t="n">
        <f aca="false">I20+J20+K20+L20</f>
        <v>65</v>
      </c>
      <c r="O20" s="26" t="s">
        <v>124</v>
      </c>
      <c r="P20" s="25" t="s">
        <v>17</v>
      </c>
      <c r="Q20" s="26" t="s">
        <v>110</v>
      </c>
    </row>
    <row r="21" customFormat="false" ht="23.85" hidden="false" customHeight="false" outlineLevel="0" collapsed="false">
      <c r="A21" s="21" t="n">
        <v>20</v>
      </c>
      <c r="B21" s="22" t="s">
        <v>135</v>
      </c>
      <c r="C21" s="22" t="s">
        <v>136</v>
      </c>
      <c r="D21" s="22" t="s">
        <v>137</v>
      </c>
      <c r="E21" s="22" t="s">
        <v>138</v>
      </c>
      <c r="F21" s="22" t="s">
        <v>16</v>
      </c>
      <c r="G21" s="22" t="s">
        <v>39</v>
      </c>
      <c r="H21" s="22" t="s">
        <v>21</v>
      </c>
      <c r="I21" s="21" t="n">
        <v>20</v>
      </c>
      <c r="J21" s="21" t="n">
        <v>30</v>
      </c>
      <c r="K21" s="21" t="n">
        <v>10</v>
      </c>
      <c r="L21" s="21" t="n">
        <v>5</v>
      </c>
      <c r="N21" s="28" t="n">
        <f aca="false">I21+J21+K21+L21</f>
        <v>65</v>
      </c>
      <c r="O21" s="23" t="s">
        <v>139</v>
      </c>
      <c r="P21" s="22" t="s">
        <v>17</v>
      </c>
      <c r="Q21" s="23" t="s">
        <v>110</v>
      </c>
    </row>
    <row r="22" customFormat="false" ht="23.85" hidden="false" customHeight="false" outlineLevel="0" collapsed="false">
      <c r="A22" s="24" t="n">
        <v>21</v>
      </c>
      <c r="B22" s="25" t="s">
        <v>140</v>
      </c>
      <c r="C22" s="25" t="s">
        <v>141</v>
      </c>
      <c r="D22" s="25" t="s">
        <v>142</v>
      </c>
      <c r="E22" s="25" t="s">
        <v>143</v>
      </c>
      <c r="F22" s="25" t="s">
        <v>16</v>
      </c>
      <c r="G22" s="25" t="s">
        <v>39</v>
      </c>
      <c r="H22" s="25" t="s">
        <v>21</v>
      </c>
      <c r="I22" s="24" t="n">
        <v>20</v>
      </c>
      <c r="J22" s="24" t="n">
        <v>30</v>
      </c>
      <c r="K22" s="24" t="n">
        <v>10</v>
      </c>
      <c r="L22" s="24" t="n">
        <v>5</v>
      </c>
      <c r="N22" s="29" t="n">
        <f aca="false">I22+J22+K22+L22</f>
        <v>65</v>
      </c>
      <c r="O22" s="26" t="s">
        <v>139</v>
      </c>
      <c r="P22" s="25" t="s">
        <v>17</v>
      </c>
      <c r="Q22" s="26" t="s">
        <v>110</v>
      </c>
    </row>
    <row r="23" customFormat="false" ht="23.85" hidden="false" customHeight="false" outlineLevel="0" collapsed="false">
      <c r="A23" s="21" t="n">
        <v>22</v>
      </c>
      <c r="B23" s="22" t="s">
        <v>144</v>
      </c>
      <c r="C23" s="22" t="s">
        <v>145</v>
      </c>
      <c r="D23" s="22" t="s">
        <v>146</v>
      </c>
      <c r="E23" s="22" t="s">
        <v>147</v>
      </c>
      <c r="F23" s="22" t="s">
        <v>16</v>
      </c>
      <c r="G23" s="22" t="s">
        <v>39</v>
      </c>
      <c r="H23" s="22" t="s">
        <v>21</v>
      </c>
      <c r="I23" s="21" t="n">
        <v>20</v>
      </c>
      <c r="J23" s="21" t="n">
        <v>30</v>
      </c>
      <c r="K23" s="21" t="n">
        <v>10</v>
      </c>
      <c r="L23" s="21" t="n">
        <v>5</v>
      </c>
      <c r="N23" s="28" t="n">
        <f aca="false">I23+J23+K23+L23</f>
        <v>65</v>
      </c>
      <c r="O23" s="23" t="s">
        <v>139</v>
      </c>
      <c r="P23" s="22" t="s">
        <v>17</v>
      </c>
      <c r="Q23" s="23" t="s">
        <v>110</v>
      </c>
    </row>
    <row r="24" customFormat="false" ht="23.85" hidden="false" customHeight="false" outlineLevel="0" collapsed="false">
      <c r="A24" s="24" t="n">
        <v>23</v>
      </c>
      <c r="B24" s="25" t="s">
        <v>148</v>
      </c>
      <c r="C24" s="25" t="s">
        <v>149</v>
      </c>
      <c r="D24" s="25" t="s">
        <v>150</v>
      </c>
      <c r="E24" s="25" t="s">
        <v>151</v>
      </c>
      <c r="F24" s="25" t="s">
        <v>123</v>
      </c>
      <c r="G24" s="25" t="s">
        <v>39</v>
      </c>
      <c r="H24" s="25" t="s">
        <v>18</v>
      </c>
      <c r="I24" s="24" t="n">
        <v>5</v>
      </c>
      <c r="J24" s="24" t="n">
        <v>30</v>
      </c>
      <c r="K24" s="24" t="n">
        <v>25</v>
      </c>
      <c r="L24" s="24" t="n">
        <v>5</v>
      </c>
      <c r="N24" s="29" t="n">
        <f aca="false">I24+J24+K24+L24</f>
        <v>65</v>
      </c>
      <c r="O24" s="26" t="s">
        <v>124</v>
      </c>
      <c r="P24" s="25" t="s">
        <v>17</v>
      </c>
      <c r="Q24" s="26" t="s">
        <v>110</v>
      </c>
    </row>
    <row r="25" customFormat="false" ht="23.85" hidden="false" customHeight="false" outlineLevel="0" collapsed="false">
      <c r="A25" s="21" t="n">
        <v>24</v>
      </c>
      <c r="B25" s="22" t="s">
        <v>152</v>
      </c>
      <c r="C25" s="22" t="s">
        <v>153</v>
      </c>
      <c r="D25" s="22" t="s">
        <v>154</v>
      </c>
      <c r="E25" s="22" t="s">
        <v>155</v>
      </c>
      <c r="F25" s="22" t="s">
        <v>123</v>
      </c>
      <c r="G25" s="22" t="s">
        <v>39</v>
      </c>
      <c r="H25" s="22" t="s">
        <v>18</v>
      </c>
      <c r="I25" s="21" t="n">
        <v>5</v>
      </c>
      <c r="J25" s="21" t="n">
        <v>30</v>
      </c>
      <c r="K25" s="21" t="n">
        <v>25</v>
      </c>
      <c r="L25" s="21" t="n">
        <v>5</v>
      </c>
      <c r="N25" s="28" t="n">
        <f aca="false">I25+J25+K25+L25</f>
        <v>65</v>
      </c>
      <c r="O25" s="23" t="s">
        <v>124</v>
      </c>
      <c r="P25" s="22" t="s">
        <v>17</v>
      </c>
      <c r="Q25" s="23" t="s">
        <v>110</v>
      </c>
    </row>
    <row r="26" customFormat="false" ht="23.85" hidden="false" customHeight="false" outlineLevel="0" collapsed="false">
      <c r="A26" s="24" t="n">
        <v>25</v>
      </c>
      <c r="B26" s="25" t="s">
        <v>156</v>
      </c>
      <c r="C26" s="25" t="s">
        <v>157</v>
      </c>
      <c r="D26" s="25" t="s">
        <v>158</v>
      </c>
      <c r="E26" s="25" t="s">
        <v>159</v>
      </c>
      <c r="F26" s="25" t="s">
        <v>123</v>
      </c>
      <c r="G26" s="25" t="s">
        <v>39</v>
      </c>
      <c r="H26" s="25" t="s">
        <v>18</v>
      </c>
      <c r="I26" s="24" t="n">
        <v>5</v>
      </c>
      <c r="J26" s="24" t="n">
        <v>30</v>
      </c>
      <c r="K26" s="24" t="n">
        <v>25</v>
      </c>
      <c r="L26" s="24" t="n">
        <v>5</v>
      </c>
      <c r="N26" s="29" t="n">
        <f aca="false">I26+J26+K26+L26</f>
        <v>65</v>
      </c>
      <c r="O26" s="26" t="s">
        <v>124</v>
      </c>
      <c r="P26" s="25" t="s">
        <v>17</v>
      </c>
      <c r="Q26" s="26" t="s">
        <v>110</v>
      </c>
    </row>
    <row r="27" customFormat="false" ht="23.85" hidden="false" customHeight="false" outlineLevel="0" collapsed="false">
      <c r="A27" s="21" t="n">
        <v>26</v>
      </c>
      <c r="B27" s="22" t="s">
        <v>160</v>
      </c>
      <c r="C27" s="22" t="s">
        <v>161</v>
      </c>
      <c r="D27" s="22" t="s">
        <v>162</v>
      </c>
      <c r="E27" s="22" t="s">
        <v>163</v>
      </c>
      <c r="F27" s="22" t="s">
        <v>16</v>
      </c>
      <c r="G27" s="22" t="s">
        <v>39</v>
      </c>
      <c r="H27" s="22" t="s">
        <v>21</v>
      </c>
      <c r="I27" s="21" t="n">
        <v>20</v>
      </c>
      <c r="J27" s="21" t="n">
        <v>30</v>
      </c>
      <c r="K27" s="21" t="n">
        <v>10</v>
      </c>
      <c r="L27" s="21" t="n">
        <v>5</v>
      </c>
      <c r="N27" s="28" t="n">
        <f aca="false">I27+J27+K27+L27</f>
        <v>65</v>
      </c>
      <c r="O27" s="23" t="s">
        <v>139</v>
      </c>
      <c r="P27" s="22" t="s">
        <v>17</v>
      </c>
      <c r="Q27" s="23" t="s">
        <v>110</v>
      </c>
    </row>
    <row r="28" customFormat="false" ht="23.85" hidden="false" customHeight="false" outlineLevel="0" collapsed="false">
      <c r="A28" s="24" t="n">
        <v>27</v>
      </c>
      <c r="B28" s="25" t="s">
        <v>164</v>
      </c>
      <c r="C28" s="25" t="s">
        <v>165</v>
      </c>
      <c r="D28" s="25" t="s">
        <v>166</v>
      </c>
      <c r="E28" s="25" t="s">
        <v>167</v>
      </c>
      <c r="F28" s="25" t="s">
        <v>123</v>
      </c>
      <c r="G28" s="25" t="s">
        <v>39</v>
      </c>
      <c r="H28" s="25" t="s">
        <v>18</v>
      </c>
      <c r="I28" s="24" t="n">
        <v>5</v>
      </c>
      <c r="J28" s="24" t="n">
        <v>30</v>
      </c>
      <c r="K28" s="24" t="n">
        <v>25</v>
      </c>
      <c r="L28" s="24" t="n">
        <v>5</v>
      </c>
      <c r="N28" s="29" t="n">
        <f aca="false">I28+J28+K28+L28</f>
        <v>65</v>
      </c>
      <c r="O28" s="26" t="s">
        <v>124</v>
      </c>
      <c r="P28" s="25" t="s">
        <v>17</v>
      </c>
      <c r="Q28" s="26" t="s">
        <v>110</v>
      </c>
    </row>
    <row r="29" customFormat="false" ht="23.85" hidden="false" customHeight="false" outlineLevel="0" collapsed="false">
      <c r="A29" s="21" t="n">
        <v>28</v>
      </c>
      <c r="B29" s="22" t="s">
        <v>168</v>
      </c>
      <c r="C29" s="22"/>
      <c r="D29" s="22" t="s">
        <v>169</v>
      </c>
      <c r="E29" s="22" t="s">
        <v>170</v>
      </c>
      <c r="F29" s="22" t="s">
        <v>16</v>
      </c>
      <c r="G29" s="22" t="s">
        <v>39</v>
      </c>
      <c r="H29" s="22" t="s">
        <v>21</v>
      </c>
      <c r="I29" s="21" t="n">
        <v>20</v>
      </c>
      <c r="J29" s="21" t="n">
        <v>30</v>
      </c>
      <c r="K29" s="21" t="n">
        <v>10</v>
      </c>
      <c r="L29" s="21" t="n">
        <v>5</v>
      </c>
      <c r="N29" s="28" t="n">
        <f aca="false">I29+J29+K29+L29</f>
        <v>65</v>
      </c>
      <c r="O29" s="23" t="s">
        <v>139</v>
      </c>
      <c r="P29" s="22" t="s">
        <v>17</v>
      </c>
      <c r="Q29" s="23" t="s">
        <v>110</v>
      </c>
    </row>
    <row r="30" customFormat="false" ht="23.85" hidden="false" customHeight="false" outlineLevel="0" collapsed="false">
      <c r="A30" s="24" t="n">
        <v>29</v>
      </c>
      <c r="B30" s="25" t="s">
        <v>171</v>
      </c>
      <c r="C30" s="25" t="s">
        <v>172</v>
      </c>
      <c r="D30" s="25" t="s">
        <v>173</v>
      </c>
      <c r="E30" s="25" t="s">
        <v>174</v>
      </c>
      <c r="F30" s="25" t="s">
        <v>123</v>
      </c>
      <c r="G30" s="25" t="s">
        <v>39</v>
      </c>
      <c r="H30" s="25" t="s">
        <v>18</v>
      </c>
      <c r="I30" s="24" t="n">
        <v>5</v>
      </c>
      <c r="J30" s="24" t="n">
        <v>30</v>
      </c>
      <c r="K30" s="24" t="n">
        <v>25</v>
      </c>
      <c r="L30" s="24" t="n">
        <v>5</v>
      </c>
      <c r="N30" s="29" t="n">
        <f aca="false">I30+J30+K30+L30</f>
        <v>65</v>
      </c>
      <c r="O30" s="26" t="s">
        <v>124</v>
      </c>
      <c r="P30" s="25" t="s">
        <v>17</v>
      </c>
      <c r="Q30" s="26" t="s">
        <v>110</v>
      </c>
    </row>
    <row r="31" customFormat="false" ht="23.85" hidden="false" customHeight="false" outlineLevel="0" collapsed="false">
      <c r="A31" s="21" t="n">
        <v>30</v>
      </c>
      <c r="B31" s="22" t="s">
        <v>175</v>
      </c>
      <c r="C31" s="22" t="s">
        <v>176</v>
      </c>
      <c r="D31" s="22" t="s">
        <v>177</v>
      </c>
      <c r="E31" s="22" t="s">
        <v>178</v>
      </c>
      <c r="F31" s="22" t="s">
        <v>16</v>
      </c>
      <c r="G31" s="22" t="s">
        <v>39</v>
      </c>
      <c r="H31" s="22" t="s">
        <v>21</v>
      </c>
      <c r="I31" s="21" t="n">
        <v>20</v>
      </c>
      <c r="J31" s="21" t="n">
        <v>30</v>
      </c>
      <c r="K31" s="21" t="n">
        <v>10</v>
      </c>
      <c r="L31" s="21" t="n">
        <v>5</v>
      </c>
      <c r="N31" s="28" t="n">
        <f aca="false">I31+J31+K31+L31</f>
        <v>65</v>
      </c>
      <c r="O31" s="23" t="s">
        <v>139</v>
      </c>
      <c r="P31" s="22" t="s">
        <v>17</v>
      </c>
      <c r="Q31" s="23" t="s">
        <v>110</v>
      </c>
    </row>
    <row r="32" customFormat="false" ht="23.85" hidden="false" customHeight="false" outlineLevel="0" collapsed="false">
      <c r="A32" s="24" t="n">
        <v>31</v>
      </c>
      <c r="B32" s="25" t="s">
        <v>179</v>
      </c>
      <c r="C32" s="25" t="s">
        <v>180</v>
      </c>
      <c r="D32" s="25" t="s">
        <v>181</v>
      </c>
      <c r="E32" s="25" t="s">
        <v>182</v>
      </c>
      <c r="F32" s="25" t="s">
        <v>16</v>
      </c>
      <c r="G32" s="25" t="s">
        <v>39</v>
      </c>
      <c r="H32" s="25" t="s">
        <v>21</v>
      </c>
      <c r="I32" s="24" t="n">
        <v>20</v>
      </c>
      <c r="J32" s="24" t="n">
        <v>30</v>
      </c>
      <c r="K32" s="24" t="n">
        <v>10</v>
      </c>
      <c r="L32" s="24" t="n">
        <v>3</v>
      </c>
      <c r="N32" s="29" t="n">
        <f aca="false">I32+J32+K32+L32</f>
        <v>63</v>
      </c>
      <c r="O32" s="26" t="s">
        <v>139</v>
      </c>
      <c r="P32" s="25" t="s">
        <v>17</v>
      </c>
      <c r="Q32" s="26" t="s">
        <v>110</v>
      </c>
    </row>
    <row r="33" customFormat="false" ht="23.85" hidden="false" customHeight="false" outlineLevel="0" collapsed="false">
      <c r="A33" s="21" t="n">
        <v>32</v>
      </c>
      <c r="B33" s="22" t="s">
        <v>183</v>
      </c>
      <c r="C33" s="22" t="s">
        <v>184</v>
      </c>
      <c r="D33" s="22" t="s">
        <v>185</v>
      </c>
      <c r="E33" s="22" t="s">
        <v>186</v>
      </c>
      <c r="F33" s="22" t="s">
        <v>22</v>
      </c>
      <c r="G33" s="22" t="s">
        <v>129</v>
      </c>
      <c r="H33" s="22" t="s">
        <v>18</v>
      </c>
      <c r="I33" s="21" t="n">
        <v>12</v>
      </c>
      <c r="J33" s="21" t="n">
        <v>20</v>
      </c>
      <c r="K33" s="21" t="n">
        <v>25</v>
      </c>
      <c r="L33" s="21" t="n">
        <v>5</v>
      </c>
      <c r="N33" s="28" t="n">
        <f aca="false">I33+J33+K33+L33</f>
        <v>62</v>
      </c>
      <c r="O33" s="23" t="s">
        <v>187</v>
      </c>
      <c r="P33" s="22" t="s">
        <v>17</v>
      </c>
      <c r="Q33" s="23" t="s">
        <v>110</v>
      </c>
    </row>
    <row r="34" customFormat="false" ht="23.85" hidden="false" customHeight="false" outlineLevel="0" collapsed="false">
      <c r="A34" s="24" t="n">
        <v>33</v>
      </c>
      <c r="B34" s="25" t="s">
        <v>188</v>
      </c>
      <c r="C34" s="25" t="s">
        <v>189</v>
      </c>
      <c r="D34" s="25" t="s">
        <v>190</v>
      </c>
      <c r="E34" s="25" t="s">
        <v>191</v>
      </c>
      <c r="F34" s="25" t="s">
        <v>19</v>
      </c>
      <c r="G34" s="25" t="s">
        <v>39</v>
      </c>
      <c r="H34" s="25" t="s">
        <v>21</v>
      </c>
      <c r="I34" s="24" t="n">
        <v>15</v>
      </c>
      <c r="J34" s="24" t="n">
        <v>30</v>
      </c>
      <c r="K34" s="24" t="n">
        <v>10</v>
      </c>
      <c r="L34" s="24" t="n">
        <v>5</v>
      </c>
      <c r="N34" s="29" t="n">
        <f aca="false">I34+J34+K34+L34</f>
        <v>60</v>
      </c>
      <c r="O34" s="26" t="s">
        <v>192</v>
      </c>
      <c r="P34" s="25" t="s">
        <v>17</v>
      </c>
      <c r="Q34" s="26" t="s">
        <v>110</v>
      </c>
    </row>
    <row r="35" customFormat="false" ht="23.85" hidden="false" customHeight="false" outlineLevel="0" collapsed="false">
      <c r="A35" s="21" t="n">
        <v>34</v>
      </c>
      <c r="B35" s="22" t="s">
        <v>193</v>
      </c>
      <c r="C35" s="22" t="s">
        <v>194</v>
      </c>
      <c r="D35" s="22" t="s">
        <v>195</v>
      </c>
      <c r="E35" s="22" t="s">
        <v>196</v>
      </c>
      <c r="F35" s="22" t="s">
        <v>19</v>
      </c>
      <c r="G35" s="22" t="s">
        <v>39</v>
      </c>
      <c r="H35" s="22" t="s">
        <v>21</v>
      </c>
      <c r="I35" s="21" t="n">
        <v>15</v>
      </c>
      <c r="J35" s="21" t="n">
        <v>30</v>
      </c>
      <c r="K35" s="21" t="n">
        <v>10</v>
      </c>
      <c r="L35" s="21" t="n">
        <v>5</v>
      </c>
      <c r="N35" s="28" t="n">
        <f aca="false">I35+J35+K35+L35</f>
        <v>60</v>
      </c>
      <c r="O35" s="23" t="s">
        <v>192</v>
      </c>
      <c r="P35" s="22" t="s">
        <v>17</v>
      </c>
      <c r="Q35" s="23" t="s">
        <v>110</v>
      </c>
    </row>
    <row r="36" customFormat="false" ht="23.85" hidden="false" customHeight="false" outlineLevel="0" collapsed="false">
      <c r="A36" s="24" t="n">
        <v>35</v>
      </c>
      <c r="B36" s="25" t="s">
        <v>197</v>
      </c>
      <c r="C36" s="25" t="s">
        <v>198</v>
      </c>
      <c r="D36" s="25" t="s">
        <v>199</v>
      </c>
      <c r="E36" s="25" t="s">
        <v>200</v>
      </c>
      <c r="F36" s="25" t="s">
        <v>16</v>
      </c>
      <c r="G36" s="25" t="s">
        <v>55</v>
      </c>
      <c r="H36" s="25" t="s">
        <v>21</v>
      </c>
      <c r="I36" s="24" t="n">
        <v>20</v>
      </c>
      <c r="J36" s="24" t="n">
        <v>25</v>
      </c>
      <c r="K36" s="24" t="n">
        <v>10</v>
      </c>
      <c r="L36" s="24" t="n">
        <v>5</v>
      </c>
      <c r="N36" s="29" t="n">
        <f aca="false">I36+J36+K36+L36</f>
        <v>60</v>
      </c>
      <c r="O36" s="26" t="s">
        <v>201</v>
      </c>
      <c r="P36" s="25" t="s">
        <v>17</v>
      </c>
      <c r="Q36" s="26" t="s">
        <v>110</v>
      </c>
    </row>
    <row r="37" customFormat="false" ht="23.85" hidden="false" customHeight="false" outlineLevel="0" collapsed="false">
      <c r="A37" s="21" t="n">
        <v>36</v>
      </c>
      <c r="B37" s="22" t="s">
        <v>202</v>
      </c>
      <c r="C37" s="22" t="s">
        <v>203</v>
      </c>
      <c r="D37" s="22" t="s">
        <v>204</v>
      </c>
      <c r="E37" s="22" t="s">
        <v>205</v>
      </c>
      <c r="F37" s="22" t="s">
        <v>19</v>
      </c>
      <c r="G37" s="22" t="s">
        <v>39</v>
      </c>
      <c r="H37" s="22" t="s">
        <v>21</v>
      </c>
      <c r="I37" s="21" t="n">
        <v>15</v>
      </c>
      <c r="J37" s="21" t="n">
        <v>30</v>
      </c>
      <c r="K37" s="21" t="n">
        <v>10</v>
      </c>
      <c r="L37" s="21" t="n">
        <v>5</v>
      </c>
      <c r="N37" s="28" t="n">
        <f aca="false">I37+J37+K37+L37</f>
        <v>60</v>
      </c>
      <c r="O37" s="23" t="s">
        <v>192</v>
      </c>
      <c r="P37" s="22" t="s">
        <v>17</v>
      </c>
      <c r="Q37" s="23" t="s">
        <v>110</v>
      </c>
    </row>
    <row r="38" customFormat="false" ht="23.85" hidden="false" customHeight="false" outlineLevel="0" collapsed="false">
      <c r="A38" s="24" t="n">
        <v>37</v>
      </c>
      <c r="B38" s="25" t="s">
        <v>206</v>
      </c>
      <c r="C38" s="25" t="s">
        <v>207</v>
      </c>
      <c r="D38" s="25" t="s">
        <v>208</v>
      </c>
      <c r="E38" s="25" t="s">
        <v>209</v>
      </c>
      <c r="F38" s="25" t="s">
        <v>19</v>
      </c>
      <c r="G38" s="25" t="s">
        <v>39</v>
      </c>
      <c r="H38" s="25" t="s">
        <v>21</v>
      </c>
      <c r="I38" s="24" t="n">
        <v>15</v>
      </c>
      <c r="J38" s="24" t="n">
        <v>30</v>
      </c>
      <c r="K38" s="24" t="n">
        <v>10</v>
      </c>
      <c r="L38" s="24" t="n">
        <v>5</v>
      </c>
      <c r="N38" s="29" t="n">
        <f aca="false">I38+J38+K38+L38</f>
        <v>60</v>
      </c>
      <c r="O38" s="26" t="s">
        <v>192</v>
      </c>
      <c r="P38" s="25" t="s">
        <v>17</v>
      </c>
      <c r="Q38" s="26" t="s">
        <v>110</v>
      </c>
    </row>
    <row r="39" customFormat="false" ht="23.85" hidden="false" customHeight="false" outlineLevel="0" collapsed="false">
      <c r="A39" s="21" t="n">
        <v>38</v>
      </c>
      <c r="B39" s="22" t="s">
        <v>210</v>
      </c>
      <c r="C39" s="22" t="s">
        <v>211</v>
      </c>
      <c r="D39" s="22" t="s">
        <v>212</v>
      </c>
      <c r="E39" s="22" t="s">
        <v>213</v>
      </c>
      <c r="F39" s="22" t="s">
        <v>19</v>
      </c>
      <c r="G39" s="22" t="s">
        <v>39</v>
      </c>
      <c r="H39" s="22" t="s">
        <v>21</v>
      </c>
      <c r="I39" s="21" t="n">
        <v>15</v>
      </c>
      <c r="J39" s="21" t="n">
        <v>30</v>
      </c>
      <c r="K39" s="21" t="n">
        <v>10</v>
      </c>
      <c r="L39" s="21" t="n">
        <v>5</v>
      </c>
      <c r="N39" s="28" t="n">
        <f aca="false">I39+J39+K39+L39</f>
        <v>60</v>
      </c>
      <c r="O39" s="23" t="s">
        <v>192</v>
      </c>
      <c r="P39" s="22" t="s">
        <v>17</v>
      </c>
      <c r="Q39" s="23" t="s">
        <v>110</v>
      </c>
    </row>
    <row r="40" customFormat="false" ht="23.85" hidden="false" customHeight="false" outlineLevel="0" collapsed="false">
      <c r="A40" s="24" t="n">
        <v>39</v>
      </c>
      <c r="B40" s="25" t="s">
        <v>214</v>
      </c>
      <c r="C40" s="25" t="s">
        <v>215</v>
      </c>
      <c r="D40" s="25" t="s">
        <v>216</v>
      </c>
      <c r="E40" s="25" t="s">
        <v>217</v>
      </c>
      <c r="F40" s="25" t="s">
        <v>19</v>
      </c>
      <c r="G40" s="25" t="s">
        <v>39</v>
      </c>
      <c r="H40" s="25" t="s">
        <v>21</v>
      </c>
      <c r="I40" s="24" t="n">
        <v>15</v>
      </c>
      <c r="J40" s="24" t="n">
        <v>30</v>
      </c>
      <c r="K40" s="24" t="n">
        <v>10</v>
      </c>
      <c r="L40" s="24" t="n">
        <v>5</v>
      </c>
      <c r="N40" s="29" t="n">
        <f aca="false">I40+J40+K40+L40</f>
        <v>60</v>
      </c>
      <c r="O40" s="26" t="s">
        <v>192</v>
      </c>
      <c r="P40" s="25" t="s">
        <v>17</v>
      </c>
      <c r="Q40" s="26" t="s">
        <v>110</v>
      </c>
    </row>
    <row r="41" customFormat="false" ht="23.85" hidden="false" customHeight="false" outlineLevel="0" collapsed="false">
      <c r="A41" s="21" t="n">
        <v>40</v>
      </c>
      <c r="B41" s="22" t="s">
        <v>218</v>
      </c>
      <c r="C41" s="22" t="s">
        <v>219</v>
      </c>
      <c r="D41" s="22" t="s">
        <v>220</v>
      </c>
      <c r="E41" s="22" t="s">
        <v>155</v>
      </c>
      <c r="F41" s="22" t="s">
        <v>19</v>
      </c>
      <c r="G41" s="22" t="s">
        <v>39</v>
      </c>
      <c r="H41" s="22" t="s">
        <v>21</v>
      </c>
      <c r="I41" s="21" t="n">
        <v>15</v>
      </c>
      <c r="J41" s="21" t="n">
        <v>30</v>
      </c>
      <c r="K41" s="21" t="n">
        <v>10</v>
      </c>
      <c r="L41" s="21" t="n">
        <v>5</v>
      </c>
      <c r="N41" s="28" t="n">
        <f aca="false">I41+J41+K41+L41</f>
        <v>60</v>
      </c>
      <c r="O41" s="23" t="s">
        <v>192</v>
      </c>
      <c r="P41" s="22" t="s">
        <v>17</v>
      </c>
      <c r="Q41" s="23" t="s">
        <v>110</v>
      </c>
    </row>
    <row r="42" customFormat="false" ht="23.85" hidden="false" customHeight="false" outlineLevel="0" collapsed="false">
      <c r="A42" s="24" t="n">
        <v>41</v>
      </c>
      <c r="B42" s="25" t="s">
        <v>221</v>
      </c>
      <c r="C42" s="25" t="s">
        <v>222</v>
      </c>
      <c r="D42" s="25" t="s">
        <v>223</v>
      </c>
      <c r="E42" s="25" t="s">
        <v>224</v>
      </c>
      <c r="F42" s="25" t="s">
        <v>19</v>
      </c>
      <c r="G42" s="25" t="s">
        <v>39</v>
      </c>
      <c r="H42" s="25" t="s">
        <v>21</v>
      </c>
      <c r="I42" s="24" t="n">
        <v>15</v>
      </c>
      <c r="J42" s="24" t="n">
        <v>30</v>
      </c>
      <c r="K42" s="24" t="n">
        <v>10</v>
      </c>
      <c r="L42" s="24" t="n">
        <v>5</v>
      </c>
      <c r="N42" s="29" t="n">
        <f aca="false">I42+J42+K42+L42</f>
        <v>60</v>
      </c>
      <c r="O42" s="26" t="s">
        <v>192</v>
      </c>
      <c r="P42" s="25" t="s">
        <v>17</v>
      </c>
      <c r="Q42" s="26" t="s">
        <v>110</v>
      </c>
    </row>
    <row r="43" customFormat="false" ht="23.85" hidden="false" customHeight="false" outlineLevel="0" collapsed="false">
      <c r="A43" s="21" t="n">
        <v>42</v>
      </c>
      <c r="B43" s="22" t="s">
        <v>225</v>
      </c>
      <c r="C43" s="22" t="s">
        <v>226</v>
      </c>
      <c r="D43" s="22" t="s">
        <v>227</v>
      </c>
      <c r="E43" s="22" t="s">
        <v>228</v>
      </c>
      <c r="F43" s="22" t="s">
        <v>19</v>
      </c>
      <c r="G43" s="22" t="s">
        <v>39</v>
      </c>
      <c r="H43" s="22" t="s">
        <v>21</v>
      </c>
      <c r="I43" s="21" t="n">
        <v>15</v>
      </c>
      <c r="J43" s="21" t="n">
        <v>30</v>
      </c>
      <c r="K43" s="21" t="n">
        <v>10</v>
      </c>
      <c r="L43" s="21" t="n">
        <v>5</v>
      </c>
      <c r="N43" s="28" t="n">
        <f aca="false">I43+J43+K43+L43</f>
        <v>60</v>
      </c>
      <c r="O43" s="23" t="s">
        <v>192</v>
      </c>
      <c r="P43" s="22" t="s">
        <v>17</v>
      </c>
      <c r="Q43" s="23" t="s">
        <v>110</v>
      </c>
    </row>
    <row r="44" customFormat="false" ht="23.85" hidden="false" customHeight="false" outlineLevel="0" collapsed="false">
      <c r="A44" s="24" t="n">
        <v>43</v>
      </c>
      <c r="B44" s="25" t="s">
        <v>229</v>
      </c>
      <c r="C44" s="25" t="s">
        <v>230</v>
      </c>
      <c r="D44" s="25" t="s">
        <v>231</v>
      </c>
      <c r="E44" s="25" t="s">
        <v>232</v>
      </c>
      <c r="F44" s="25" t="s">
        <v>22</v>
      </c>
      <c r="G44" s="25" t="s">
        <v>39</v>
      </c>
      <c r="H44" s="25" t="s">
        <v>21</v>
      </c>
      <c r="I44" s="24" t="n">
        <v>12</v>
      </c>
      <c r="J44" s="24" t="n">
        <v>30</v>
      </c>
      <c r="K44" s="24" t="n">
        <v>10</v>
      </c>
      <c r="L44" s="24" t="n">
        <v>5</v>
      </c>
      <c r="N44" s="29" t="n">
        <f aca="false">I44+J44+K44+L44</f>
        <v>57</v>
      </c>
      <c r="O44" s="26" t="s">
        <v>233</v>
      </c>
      <c r="P44" s="25" t="s">
        <v>20</v>
      </c>
      <c r="Q44" s="26" t="s">
        <v>234</v>
      </c>
    </row>
    <row r="45" customFormat="false" ht="23.85" hidden="false" customHeight="false" outlineLevel="0" collapsed="false">
      <c r="A45" s="21" t="n">
        <v>44</v>
      </c>
      <c r="B45" s="22" t="s">
        <v>235</v>
      </c>
      <c r="C45" s="22" t="s">
        <v>236</v>
      </c>
      <c r="D45" s="22" t="s">
        <v>237</v>
      </c>
      <c r="E45" s="22" t="s">
        <v>238</v>
      </c>
      <c r="F45" s="22" t="s">
        <v>22</v>
      </c>
      <c r="G45" s="22" t="s">
        <v>39</v>
      </c>
      <c r="H45" s="22" t="s">
        <v>21</v>
      </c>
      <c r="I45" s="21" t="n">
        <v>12</v>
      </c>
      <c r="J45" s="21" t="n">
        <v>30</v>
      </c>
      <c r="K45" s="21" t="n">
        <v>10</v>
      </c>
      <c r="L45" s="21" t="n">
        <v>5</v>
      </c>
      <c r="N45" s="28" t="n">
        <f aca="false">I45+J45+K45+L45</f>
        <v>57</v>
      </c>
      <c r="O45" s="23" t="s">
        <v>233</v>
      </c>
      <c r="P45" s="22" t="s">
        <v>20</v>
      </c>
      <c r="Q45" s="23" t="s">
        <v>234</v>
      </c>
    </row>
    <row r="46" customFormat="false" ht="23.85" hidden="false" customHeight="false" outlineLevel="0" collapsed="false">
      <c r="A46" s="24" t="n">
        <v>45</v>
      </c>
      <c r="B46" s="25" t="s">
        <v>239</v>
      </c>
      <c r="C46" s="25" t="s">
        <v>240</v>
      </c>
      <c r="D46" s="25" t="s">
        <v>241</v>
      </c>
      <c r="E46" s="25" t="s">
        <v>242</v>
      </c>
      <c r="F46" s="25" t="s">
        <v>22</v>
      </c>
      <c r="G46" s="25" t="s">
        <v>39</v>
      </c>
      <c r="H46" s="25" t="s">
        <v>21</v>
      </c>
      <c r="I46" s="24" t="n">
        <v>12</v>
      </c>
      <c r="J46" s="24" t="n">
        <v>30</v>
      </c>
      <c r="K46" s="24" t="n">
        <v>10</v>
      </c>
      <c r="L46" s="24" t="n">
        <v>5</v>
      </c>
      <c r="N46" s="29" t="n">
        <f aca="false">I46+J46+K46+L46</f>
        <v>57</v>
      </c>
      <c r="O46" s="26" t="s">
        <v>233</v>
      </c>
      <c r="P46" s="25" t="s">
        <v>20</v>
      </c>
      <c r="Q46" s="26" t="s">
        <v>234</v>
      </c>
    </row>
    <row r="47" customFormat="false" ht="23.85" hidden="false" customHeight="false" outlineLevel="0" collapsed="false">
      <c r="A47" s="21" t="n">
        <v>46</v>
      </c>
      <c r="B47" s="22" t="s">
        <v>243</v>
      </c>
      <c r="C47" s="22" t="s">
        <v>244</v>
      </c>
      <c r="D47" s="22" t="s">
        <v>245</v>
      </c>
      <c r="E47" s="22" t="s">
        <v>246</v>
      </c>
      <c r="F47" s="22" t="s">
        <v>22</v>
      </c>
      <c r="G47" s="22" t="s">
        <v>39</v>
      </c>
      <c r="H47" s="22" t="s">
        <v>21</v>
      </c>
      <c r="I47" s="21" t="n">
        <v>12</v>
      </c>
      <c r="J47" s="21" t="n">
        <v>30</v>
      </c>
      <c r="K47" s="21" t="n">
        <v>10</v>
      </c>
      <c r="L47" s="21" t="n">
        <v>5</v>
      </c>
      <c r="N47" s="28" t="n">
        <f aca="false">I47+J47+K47+L47</f>
        <v>57</v>
      </c>
      <c r="O47" s="23" t="s">
        <v>233</v>
      </c>
      <c r="P47" s="22" t="s">
        <v>20</v>
      </c>
      <c r="Q47" s="23" t="s">
        <v>234</v>
      </c>
    </row>
    <row r="48" customFormat="false" ht="23.85" hidden="false" customHeight="false" outlineLevel="0" collapsed="false">
      <c r="A48" s="24" t="n">
        <v>47</v>
      </c>
      <c r="B48" s="25" t="s">
        <v>247</v>
      </c>
      <c r="C48" s="25" t="s">
        <v>248</v>
      </c>
      <c r="D48" s="25" t="s">
        <v>249</v>
      </c>
      <c r="E48" s="25" t="s">
        <v>250</v>
      </c>
      <c r="F48" s="25" t="s">
        <v>22</v>
      </c>
      <c r="G48" s="25" t="s">
        <v>39</v>
      </c>
      <c r="H48" s="25" t="s">
        <v>21</v>
      </c>
      <c r="I48" s="24" t="n">
        <v>12</v>
      </c>
      <c r="J48" s="24" t="n">
        <v>30</v>
      </c>
      <c r="K48" s="24" t="n">
        <v>10</v>
      </c>
      <c r="L48" s="24" t="n">
        <v>5</v>
      </c>
      <c r="N48" s="29" t="n">
        <f aca="false">I48+J48+K48+L48</f>
        <v>57</v>
      </c>
      <c r="O48" s="26" t="s">
        <v>233</v>
      </c>
      <c r="P48" s="25" t="s">
        <v>20</v>
      </c>
      <c r="Q48" s="26" t="s">
        <v>234</v>
      </c>
    </row>
    <row r="49" customFormat="false" ht="23.85" hidden="false" customHeight="false" outlineLevel="0" collapsed="false">
      <c r="A49" s="21" t="n">
        <v>48</v>
      </c>
      <c r="B49" s="22" t="s">
        <v>251</v>
      </c>
      <c r="C49" s="22" t="s">
        <v>252</v>
      </c>
      <c r="D49" s="22" t="s">
        <v>253</v>
      </c>
      <c r="E49" s="22" t="s">
        <v>254</v>
      </c>
      <c r="F49" s="22" t="s">
        <v>22</v>
      </c>
      <c r="G49" s="22" t="s">
        <v>39</v>
      </c>
      <c r="H49" s="22" t="s">
        <v>21</v>
      </c>
      <c r="I49" s="21" t="n">
        <v>12</v>
      </c>
      <c r="J49" s="21" t="n">
        <v>30</v>
      </c>
      <c r="K49" s="21" t="n">
        <v>10</v>
      </c>
      <c r="L49" s="21" t="n">
        <v>5</v>
      </c>
      <c r="N49" s="28" t="n">
        <f aca="false">I49+J49+K49+L49</f>
        <v>57</v>
      </c>
      <c r="O49" s="23" t="s">
        <v>233</v>
      </c>
      <c r="P49" s="22" t="s">
        <v>20</v>
      </c>
      <c r="Q49" s="23" t="s">
        <v>234</v>
      </c>
    </row>
    <row r="50" customFormat="false" ht="23.85" hidden="false" customHeight="false" outlineLevel="0" collapsed="false">
      <c r="A50" s="24" t="n">
        <v>49</v>
      </c>
      <c r="B50" s="25" t="s">
        <v>255</v>
      </c>
      <c r="C50" s="25" t="s">
        <v>256</v>
      </c>
      <c r="D50" s="25" t="s">
        <v>257</v>
      </c>
      <c r="E50" s="25" t="s">
        <v>258</v>
      </c>
      <c r="F50" s="25" t="s">
        <v>22</v>
      </c>
      <c r="G50" s="25" t="s">
        <v>39</v>
      </c>
      <c r="H50" s="25" t="s">
        <v>21</v>
      </c>
      <c r="I50" s="24" t="n">
        <v>12</v>
      </c>
      <c r="J50" s="24" t="n">
        <v>30</v>
      </c>
      <c r="K50" s="24" t="n">
        <v>10</v>
      </c>
      <c r="L50" s="24" t="n">
        <v>5</v>
      </c>
      <c r="N50" s="29" t="n">
        <f aca="false">I50+J50+K50+L50</f>
        <v>57</v>
      </c>
      <c r="O50" s="26" t="s">
        <v>233</v>
      </c>
      <c r="P50" s="25" t="s">
        <v>20</v>
      </c>
      <c r="Q50" s="26" t="s">
        <v>234</v>
      </c>
    </row>
    <row r="51" customFormat="false" ht="23.85" hidden="false" customHeight="false" outlineLevel="0" collapsed="false">
      <c r="A51" s="21" t="n">
        <v>50</v>
      </c>
      <c r="B51" s="22" t="s">
        <v>259</v>
      </c>
      <c r="C51" s="22" t="s">
        <v>260</v>
      </c>
      <c r="D51" s="22" t="s">
        <v>261</v>
      </c>
      <c r="E51" s="22" t="s">
        <v>262</v>
      </c>
      <c r="F51" s="22" t="s">
        <v>22</v>
      </c>
      <c r="G51" s="22" t="s">
        <v>39</v>
      </c>
      <c r="H51" s="22" t="s">
        <v>21</v>
      </c>
      <c r="I51" s="21" t="n">
        <v>12</v>
      </c>
      <c r="J51" s="21" t="n">
        <v>30</v>
      </c>
      <c r="K51" s="21" t="n">
        <v>10</v>
      </c>
      <c r="L51" s="21" t="n">
        <v>5</v>
      </c>
      <c r="N51" s="28" t="n">
        <f aca="false">I51+J51+K51+L51</f>
        <v>57</v>
      </c>
      <c r="O51" s="23" t="s">
        <v>233</v>
      </c>
      <c r="P51" s="22" t="s">
        <v>20</v>
      </c>
      <c r="Q51" s="23" t="s">
        <v>234</v>
      </c>
    </row>
    <row r="52" customFormat="false" ht="23.85" hidden="false" customHeight="false" outlineLevel="0" collapsed="false">
      <c r="A52" s="24" t="n">
        <v>51</v>
      </c>
      <c r="B52" s="25" t="s">
        <v>263</v>
      </c>
      <c r="C52" s="25" t="s">
        <v>264</v>
      </c>
      <c r="D52" s="25" t="s">
        <v>265</v>
      </c>
      <c r="E52" s="25" t="s">
        <v>266</v>
      </c>
      <c r="F52" s="25" t="s">
        <v>22</v>
      </c>
      <c r="G52" s="25" t="s">
        <v>39</v>
      </c>
      <c r="H52" s="25" t="s">
        <v>21</v>
      </c>
      <c r="I52" s="24" t="n">
        <v>12</v>
      </c>
      <c r="J52" s="24" t="n">
        <v>30</v>
      </c>
      <c r="K52" s="24" t="n">
        <v>10</v>
      </c>
      <c r="L52" s="24" t="n">
        <v>5</v>
      </c>
      <c r="N52" s="29" t="n">
        <f aca="false">I52+J52+K52+L52</f>
        <v>57</v>
      </c>
      <c r="O52" s="26" t="s">
        <v>233</v>
      </c>
      <c r="P52" s="25" t="s">
        <v>20</v>
      </c>
      <c r="Q52" s="26" t="s">
        <v>234</v>
      </c>
    </row>
    <row r="53" customFormat="false" ht="23.85" hidden="false" customHeight="false" outlineLevel="0" collapsed="false">
      <c r="A53" s="21" t="n">
        <v>52</v>
      </c>
      <c r="B53" s="22" t="s">
        <v>267</v>
      </c>
      <c r="C53" s="22" t="s">
        <v>268</v>
      </c>
      <c r="D53" s="22" t="s">
        <v>269</v>
      </c>
      <c r="E53" s="22" t="s">
        <v>270</v>
      </c>
      <c r="F53" s="22" t="s">
        <v>22</v>
      </c>
      <c r="G53" s="22" t="s">
        <v>39</v>
      </c>
      <c r="H53" s="22" t="s">
        <v>21</v>
      </c>
      <c r="I53" s="21" t="n">
        <v>12</v>
      </c>
      <c r="J53" s="21" t="n">
        <v>30</v>
      </c>
      <c r="K53" s="21" t="n">
        <v>10</v>
      </c>
      <c r="L53" s="21" t="n">
        <v>5</v>
      </c>
      <c r="N53" s="28" t="n">
        <f aca="false">I53+J53+K53+L53</f>
        <v>57</v>
      </c>
      <c r="O53" s="23" t="s">
        <v>233</v>
      </c>
      <c r="P53" s="22" t="s">
        <v>20</v>
      </c>
      <c r="Q53" s="23" t="s">
        <v>234</v>
      </c>
    </row>
    <row r="54" customFormat="false" ht="23.85" hidden="false" customHeight="false" outlineLevel="0" collapsed="false">
      <c r="A54" s="24" t="n">
        <v>53</v>
      </c>
      <c r="B54" s="25" t="s">
        <v>271</v>
      </c>
      <c r="C54" s="25" t="s">
        <v>272</v>
      </c>
      <c r="D54" s="25" t="s">
        <v>273</v>
      </c>
      <c r="E54" s="25" t="s">
        <v>274</v>
      </c>
      <c r="F54" s="25" t="s">
        <v>22</v>
      </c>
      <c r="G54" s="25" t="s">
        <v>39</v>
      </c>
      <c r="H54" s="25" t="s">
        <v>21</v>
      </c>
      <c r="I54" s="24" t="n">
        <v>12</v>
      </c>
      <c r="J54" s="24" t="n">
        <v>30</v>
      </c>
      <c r="K54" s="24" t="n">
        <v>10</v>
      </c>
      <c r="L54" s="24" t="n">
        <v>5</v>
      </c>
      <c r="N54" s="29" t="n">
        <f aca="false">I54+J54+K54+L54</f>
        <v>57</v>
      </c>
      <c r="O54" s="26" t="s">
        <v>233</v>
      </c>
      <c r="P54" s="25" t="s">
        <v>20</v>
      </c>
      <c r="Q54" s="26" t="s">
        <v>234</v>
      </c>
    </row>
    <row r="55" customFormat="false" ht="23.85" hidden="false" customHeight="false" outlineLevel="0" collapsed="false">
      <c r="A55" s="21" t="n">
        <v>54</v>
      </c>
      <c r="B55" s="22" t="s">
        <v>275</v>
      </c>
      <c r="C55" s="22" t="s">
        <v>226</v>
      </c>
      <c r="D55" s="22" t="s">
        <v>276</v>
      </c>
      <c r="E55" s="22" t="s">
        <v>277</v>
      </c>
      <c r="F55" s="22" t="s">
        <v>22</v>
      </c>
      <c r="G55" s="22" t="s">
        <v>39</v>
      </c>
      <c r="H55" s="22" t="s">
        <v>21</v>
      </c>
      <c r="I55" s="21" t="n">
        <v>12</v>
      </c>
      <c r="J55" s="21" t="n">
        <v>30</v>
      </c>
      <c r="K55" s="21" t="n">
        <v>10</v>
      </c>
      <c r="L55" s="21" t="n">
        <v>5</v>
      </c>
      <c r="N55" s="28" t="n">
        <f aca="false">I55+J55+K55+L55</f>
        <v>57</v>
      </c>
      <c r="O55" s="23" t="s">
        <v>233</v>
      </c>
      <c r="P55" s="22" t="s">
        <v>20</v>
      </c>
      <c r="Q55" s="23" t="s">
        <v>234</v>
      </c>
    </row>
    <row r="56" customFormat="false" ht="23.85" hidden="false" customHeight="false" outlineLevel="0" collapsed="false">
      <c r="A56" s="24" t="n">
        <v>55</v>
      </c>
      <c r="B56" s="25" t="s">
        <v>202</v>
      </c>
      <c r="C56" s="25" t="s">
        <v>278</v>
      </c>
      <c r="D56" s="25" t="s">
        <v>279</v>
      </c>
      <c r="E56" s="25" t="s">
        <v>280</v>
      </c>
      <c r="F56" s="25" t="s">
        <v>22</v>
      </c>
      <c r="G56" s="25" t="s">
        <v>39</v>
      </c>
      <c r="H56" s="25" t="s">
        <v>21</v>
      </c>
      <c r="I56" s="24" t="n">
        <v>12</v>
      </c>
      <c r="J56" s="24" t="n">
        <v>30</v>
      </c>
      <c r="K56" s="24" t="n">
        <v>10</v>
      </c>
      <c r="L56" s="24" t="n">
        <v>5</v>
      </c>
      <c r="N56" s="29" t="n">
        <f aca="false">I56+J56+K56+L56</f>
        <v>57</v>
      </c>
      <c r="O56" s="26" t="s">
        <v>233</v>
      </c>
      <c r="P56" s="25" t="s">
        <v>20</v>
      </c>
      <c r="Q56" s="26" t="s">
        <v>234</v>
      </c>
    </row>
    <row r="57" customFormat="false" ht="23.85" hidden="false" customHeight="false" outlineLevel="0" collapsed="false">
      <c r="A57" s="21" t="n">
        <v>56</v>
      </c>
      <c r="B57" s="22" t="s">
        <v>281</v>
      </c>
      <c r="C57" s="22"/>
      <c r="D57" s="22" t="s">
        <v>282</v>
      </c>
      <c r="E57" s="22" t="s">
        <v>283</v>
      </c>
      <c r="F57" s="22" t="s">
        <v>22</v>
      </c>
      <c r="G57" s="22" t="s">
        <v>39</v>
      </c>
      <c r="H57" s="22" t="s">
        <v>21</v>
      </c>
      <c r="I57" s="21" t="n">
        <v>12</v>
      </c>
      <c r="J57" s="21" t="n">
        <v>30</v>
      </c>
      <c r="K57" s="21" t="n">
        <v>10</v>
      </c>
      <c r="L57" s="21" t="n">
        <v>5</v>
      </c>
      <c r="N57" s="28" t="n">
        <f aca="false">I57+J57+K57+L57</f>
        <v>57</v>
      </c>
      <c r="O57" s="23" t="s">
        <v>233</v>
      </c>
      <c r="P57" s="22" t="s">
        <v>20</v>
      </c>
      <c r="Q57" s="23" t="s">
        <v>234</v>
      </c>
    </row>
    <row r="58" customFormat="false" ht="23.85" hidden="false" customHeight="false" outlineLevel="0" collapsed="false">
      <c r="A58" s="24" t="n">
        <v>57</v>
      </c>
      <c r="B58" s="25" t="s">
        <v>284</v>
      </c>
      <c r="C58" s="25" t="s">
        <v>285</v>
      </c>
      <c r="D58" s="25" t="s">
        <v>286</v>
      </c>
      <c r="E58" s="25" t="s">
        <v>287</v>
      </c>
      <c r="F58" s="25" t="s">
        <v>22</v>
      </c>
      <c r="G58" s="25" t="s">
        <v>39</v>
      </c>
      <c r="H58" s="25" t="s">
        <v>21</v>
      </c>
      <c r="I58" s="24" t="n">
        <v>12</v>
      </c>
      <c r="J58" s="24" t="n">
        <v>30</v>
      </c>
      <c r="K58" s="24" t="n">
        <v>10</v>
      </c>
      <c r="L58" s="24" t="n">
        <v>5</v>
      </c>
      <c r="N58" s="29" t="n">
        <f aca="false">I58+J58+K58+L58</f>
        <v>57</v>
      </c>
      <c r="O58" s="26" t="s">
        <v>233</v>
      </c>
      <c r="P58" s="25" t="s">
        <v>20</v>
      </c>
      <c r="Q58" s="26" t="s">
        <v>234</v>
      </c>
    </row>
    <row r="59" customFormat="false" ht="23.85" hidden="false" customHeight="false" outlineLevel="0" collapsed="false">
      <c r="A59" s="21" t="n">
        <v>58</v>
      </c>
      <c r="B59" s="22" t="s">
        <v>288</v>
      </c>
      <c r="C59" s="22" t="s">
        <v>289</v>
      </c>
      <c r="D59" s="22" t="s">
        <v>290</v>
      </c>
      <c r="E59" s="22" t="s">
        <v>291</v>
      </c>
      <c r="F59" s="22" t="s">
        <v>22</v>
      </c>
      <c r="G59" s="22" t="s">
        <v>39</v>
      </c>
      <c r="H59" s="22" t="s">
        <v>21</v>
      </c>
      <c r="I59" s="21" t="n">
        <v>12</v>
      </c>
      <c r="J59" s="21" t="n">
        <v>30</v>
      </c>
      <c r="K59" s="21" t="n">
        <v>10</v>
      </c>
      <c r="L59" s="21" t="n">
        <v>5</v>
      </c>
      <c r="N59" s="28" t="n">
        <f aca="false">I59+J59+K59+L59</f>
        <v>57</v>
      </c>
      <c r="O59" s="23" t="s">
        <v>233</v>
      </c>
      <c r="P59" s="22" t="s">
        <v>20</v>
      </c>
      <c r="Q59" s="23" t="s">
        <v>234</v>
      </c>
    </row>
    <row r="60" customFormat="false" ht="23.85" hidden="false" customHeight="false" outlineLevel="0" collapsed="false">
      <c r="A60" s="24" t="n">
        <v>59</v>
      </c>
      <c r="B60" s="25" t="s">
        <v>292</v>
      </c>
      <c r="C60" s="25" t="s">
        <v>293</v>
      </c>
      <c r="D60" s="25" t="s">
        <v>294</v>
      </c>
      <c r="E60" s="25" t="s">
        <v>295</v>
      </c>
      <c r="F60" s="25" t="s">
        <v>123</v>
      </c>
      <c r="G60" s="25" t="s">
        <v>129</v>
      </c>
      <c r="H60" s="25" t="s">
        <v>18</v>
      </c>
      <c r="I60" s="24" t="n">
        <v>5</v>
      </c>
      <c r="J60" s="24" t="n">
        <v>20</v>
      </c>
      <c r="K60" s="24" t="n">
        <v>25</v>
      </c>
      <c r="L60" s="24" t="n">
        <v>5</v>
      </c>
      <c r="N60" s="29" t="n">
        <f aca="false">I60+J60+K60+L60</f>
        <v>55</v>
      </c>
      <c r="O60" s="26" t="s">
        <v>296</v>
      </c>
      <c r="P60" s="25" t="s">
        <v>20</v>
      </c>
      <c r="Q60" s="26" t="s">
        <v>234</v>
      </c>
    </row>
    <row r="61" customFormat="false" ht="23.85" hidden="false" customHeight="false" outlineLevel="0" collapsed="false">
      <c r="A61" s="21" t="n">
        <v>60</v>
      </c>
      <c r="B61" s="22" t="s">
        <v>297</v>
      </c>
      <c r="C61" s="22" t="s">
        <v>298</v>
      </c>
      <c r="D61" s="22" t="s">
        <v>299</v>
      </c>
      <c r="E61" s="22" t="s">
        <v>300</v>
      </c>
      <c r="F61" s="22" t="s">
        <v>19</v>
      </c>
      <c r="G61" s="22" t="s">
        <v>55</v>
      </c>
      <c r="H61" s="22" t="s">
        <v>21</v>
      </c>
      <c r="I61" s="21" t="n">
        <v>15</v>
      </c>
      <c r="J61" s="21" t="n">
        <v>25</v>
      </c>
      <c r="K61" s="21" t="n">
        <v>10</v>
      </c>
      <c r="L61" s="21" t="n">
        <v>5</v>
      </c>
      <c r="N61" s="28" t="n">
        <f aca="false">I61+J61+K61+L61</f>
        <v>55</v>
      </c>
      <c r="O61" s="23" t="s">
        <v>301</v>
      </c>
      <c r="P61" s="22" t="s">
        <v>20</v>
      </c>
      <c r="Q61" s="23" t="s">
        <v>234</v>
      </c>
    </row>
    <row r="62" customFormat="false" ht="23.85" hidden="false" customHeight="false" outlineLevel="0" collapsed="false">
      <c r="A62" s="24" t="n">
        <v>61</v>
      </c>
      <c r="B62" s="25" t="s">
        <v>302</v>
      </c>
      <c r="C62" s="25" t="s">
        <v>303</v>
      </c>
      <c r="D62" s="25" t="s">
        <v>304</v>
      </c>
      <c r="E62" s="25" t="s">
        <v>305</v>
      </c>
      <c r="F62" s="25" t="s">
        <v>123</v>
      </c>
      <c r="G62" s="25" t="s">
        <v>129</v>
      </c>
      <c r="H62" s="25" t="s">
        <v>18</v>
      </c>
      <c r="I62" s="24" t="n">
        <v>5</v>
      </c>
      <c r="J62" s="24" t="n">
        <v>20</v>
      </c>
      <c r="K62" s="24" t="n">
        <v>25</v>
      </c>
      <c r="L62" s="24" t="n">
        <v>5</v>
      </c>
      <c r="N62" s="29" t="n">
        <f aca="false">I62+J62+K62+L62</f>
        <v>55</v>
      </c>
      <c r="O62" s="26" t="s">
        <v>296</v>
      </c>
      <c r="P62" s="25" t="s">
        <v>20</v>
      </c>
      <c r="Q62" s="26" t="s">
        <v>234</v>
      </c>
    </row>
    <row r="63" customFormat="false" ht="23.85" hidden="false" customHeight="false" outlineLevel="0" collapsed="false">
      <c r="A63" s="21" t="n">
        <v>62</v>
      </c>
      <c r="B63" s="22" t="s">
        <v>306</v>
      </c>
      <c r="C63" s="22" t="s">
        <v>307</v>
      </c>
      <c r="D63" s="22" t="s">
        <v>308</v>
      </c>
      <c r="E63" s="22" t="s">
        <v>309</v>
      </c>
      <c r="F63" s="22" t="s">
        <v>16</v>
      </c>
      <c r="G63" s="22" t="s">
        <v>129</v>
      </c>
      <c r="H63" s="22" t="s">
        <v>21</v>
      </c>
      <c r="I63" s="21" t="n">
        <v>20</v>
      </c>
      <c r="J63" s="21" t="n">
        <v>20</v>
      </c>
      <c r="K63" s="21" t="n">
        <v>10</v>
      </c>
      <c r="L63" s="21" t="n">
        <v>5</v>
      </c>
      <c r="N63" s="28" t="n">
        <f aca="false">I63+J63+K63+L63</f>
        <v>55</v>
      </c>
      <c r="O63" s="23" t="s">
        <v>310</v>
      </c>
      <c r="P63" s="22" t="s">
        <v>20</v>
      </c>
      <c r="Q63" s="23" t="s">
        <v>234</v>
      </c>
    </row>
    <row r="64" customFormat="false" ht="23.85" hidden="false" customHeight="false" outlineLevel="0" collapsed="false">
      <c r="A64" s="24" t="n">
        <v>63</v>
      </c>
      <c r="B64" s="25" t="s">
        <v>311</v>
      </c>
      <c r="C64" s="25" t="s">
        <v>312</v>
      </c>
      <c r="D64" s="25" t="s">
        <v>313</v>
      </c>
      <c r="E64" s="25" t="s">
        <v>314</v>
      </c>
      <c r="F64" s="25" t="s">
        <v>16</v>
      </c>
      <c r="G64" s="25" t="s">
        <v>129</v>
      </c>
      <c r="H64" s="25" t="s">
        <v>21</v>
      </c>
      <c r="I64" s="24" t="n">
        <v>20</v>
      </c>
      <c r="J64" s="24" t="n">
        <v>20</v>
      </c>
      <c r="K64" s="24" t="n">
        <v>10</v>
      </c>
      <c r="L64" s="24" t="n">
        <v>5</v>
      </c>
      <c r="N64" s="29" t="n">
        <f aca="false">I64+J64+K64+L64</f>
        <v>55</v>
      </c>
      <c r="O64" s="26" t="s">
        <v>310</v>
      </c>
      <c r="P64" s="25" t="s">
        <v>20</v>
      </c>
      <c r="Q64" s="26" t="s">
        <v>234</v>
      </c>
    </row>
    <row r="65" customFormat="false" ht="23.85" hidden="false" customHeight="false" outlineLevel="0" collapsed="false">
      <c r="A65" s="21" t="n">
        <v>64</v>
      </c>
      <c r="B65" s="22" t="s">
        <v>315</v>
      </c>
      <c r="C65" s="22" t="s">
        <v>316</v>
      </c>
      <c r="D65" s="22" t="s">
        <v>317</v>
      </c>
      <c r="E65" s="22" t="s">
        <v>318</v>
      </c>
      <c r="F65" s="22" t="s">
        <v>16</v>
      </c>
      <c r="G65" s="22" t="s">
        <v>129</v>
      </c>
      <c r="H65" s="22" t="s">
        <v>21</v>
      </c>
      <c r="I65" s="21" t="n">
        <v>20</v>
      </c>
      <c r="J65" s="21" t="n">
        <v>20</v>
      </c>
      <c r="K65" s="21" t="n">
        <v>10</v>
      </c>
      <c r="L65" s="21" t="n">
        <v>5</v>
      </c>
      <c r="N65" s="28" t="n">
        <f aca="false">I65+J65+K65+L65</f>
        <v>55</v>
      </c>
      <c r="O65" s="23" t="s">
        <v>310</v>
      </c>
      <c r="P65" s="22" t="s">
        <v>20</v>
      </c>
      <c r="Q65" s="23" t="s">
        <v>234</v>
      </c>
    </row>
    <row r="66" customFormat="false" ht="23.85" hidden="false" customHeight="false" outlineLevel="0" collapsed="false">
      <c r="A66" s="24" t="n">
        <v>65</v>
      </c>
      <c r="B66" s="25" t="s">
        <v>319</v>
      </c>
      <c r="C66" s="25" t="s">
        <v>320</v>
      </c>
      <c r="D66" s="25" t="s">
        <v>321</v>
      </c>
      <c r="E66" s="25" t="s">
        <v>322</v>
      </c>
      <c r="F66" s="25" t="s">
        <v>16</v>
      </c>
      <c r="G66" s="25" t="s">
        <v>129</v>
      </c>
      <c r="H66" s="25" t="s">
        <v>21</v>
      </c>
      <c r="I66" s="24" t="n">
        <v>20</v>
      </c>
      <c r="J66" s="24" t="n">
        <v>20</v>
      </c>
      <c r="K66" s="24" t="n">
        <v>10</v>
      </c>
      <c r="L66" s="24" t="n">
        <v>5</v>
      </c>
      <c r="N66" s="29" t="n">
        <f aca="false">I66+J66+K66+L66</f>
        <v>55</v>
      </c>
      <c r="O66" s="26" t="s">
        <v>310</v>
      </c>
      <c r="P66" s="25" t="s">
        <v>20</v>
      </c>
      <c r="Q66" s="26" t="s">
        <v>234</v>
      </c>
    </row>
    <row r="67" customFormat="false" ht="23.85" hidden="false" customHeight="false" outlineLevel="0" collapsed="false">
      <c r="A67" s="21" t="n">
        <v>66</v>
      </c>
      <c r="B67" s="22" t="s">
        <v>323</v>
      </c>
      <c r="C67" s="22" t="s">
        <v>324</v>
      </c>
      <c r="D67" s="22" t="s">
        <v>325</v>
      </c>
      <c r="E67" s="22" t="s">
        <v>326</v>
      </c>
      <c r="F67" s="22" t="s">
        <v>16</v>
      </c>
      <c r="G67" s="22" t="s">
        <v>129</v>
      </c>
      <c r="H67" s="22" t="s">
        <v>21</v>
      </c>
      <c r="I67" s="21" t="n">
        <v>20</v>
      </c>
      <c r="J67" s="21" t="n">
        <v>20</v>
      </c>
      <c r="K67" s="21" t="n">
        <v>10</v>
      </c>
      <c r="L67" s="21" t="n">
        <v>5</v>
      </c>
      <c r="N67" s="28" t="n">
        <f aca="false">I67+J67+K67+L67</f>
        <v>55</v>
      </c>
      <c r="O67" s="23" t="s">
        <v>310</v>
      </c>
      <c r="P67" s="22" t="s">
        <v>20</v>
      </c>
      <c r="Q67" s="23" t="s">
        <v>234</v>
      </c>
    </row>
    <row r="68" customFormat="false" ht="23.85" hidden="false" customHeight="false" outlineLevel="0" collapsed="false">
      <c r="A68" s="24" t="n">
        <v>67</v>
      </c>
      <c r="B68" s="25" t="s">
        <v>327</v>
      </c>
      <c r="C68" s="25" t="s">
        <v>328</v>
      </c>
      <c r="D68" s="25" t="s">
        <v>329</v>
      </c>
      <c r="E68" s="25" t="s">
        <v>174</v>
      </c>
      <c r="F68" s="25" t="s">
        <v>19</v>
      </c>
      <c r="G68" s="25" t="s">
        <v>55</v>
      </c>
      <c r="H68" s="25" t="s">
        <v>21</v>
      </c>
      <c r="I68" s="24" t="n">
        <v>15</v>
      </c>
      <c r="J68" s="24" t="n">
        <v>25</v>
      </c>
      <c r="K68" s="24" t="n">
        <v>10</v>
      </c>
      <c r="L68" s="24" t="n">
        <v>5</v>
      </c>
      <c r="N68" s="29" t="n">
        <f aca="false">I68+J68+K68+L68</f>
        <v>55</v>
      </c>
      <c r="O68" s="26" t="s">
        <v>301</v>
      </c>
      <c r="P68" s="25" t="s">
        <v>20</v>
      </c>
      <c r="Q68" s="26" t="s">
        <v>234</v>
      </c>
    </row>
    <row r="69" customFormat="false" ht="23.85" hidden="false" customHeight="false" outlineLevel="0" collapsed="false">
      <c r="A69" s="21" t="n">
        <v>68</v>
      </c>
      <c r="B69" s="22" t="s">
        <v>330</v>
      </c>
      <c r="C69" s="22" t="s">
        <v>331</v>
      </c>
      <c r="D69" s="22" t="s">
        <v>332</v>
      </c>
      <c r="E69" s="22" t="s">
        <v>333</v>
      </c>
      <c r="F69" s="22" t="s">
        <v>16</v>
      </c>
      <c r="G69" s="22" t="s">
        <v>129</v>
      </c>
      <c r="H69" s="22" t="s">
        <v>21</v>
      </c>
      <c r="I69" s="21" t="n">
        <v>20</v>
      </c>
      <c r="J69" s="21" t="n">
        <v>20</v>
      </c>
      <c r="K69" s="21" t="n">
        <v>10</v>
      </c>
      <c r="L69" s="21" t="n">
        <v>3</v>
      </c>
      <c r="N69" s="28" t="n">
        <f aca="false">I69+J69+K69+L69</f>
        <v>53</v>
      </c>
      <c r="O69" s="23" t="s">
        <v>310</v>
      </c>
      <c r="P69" s="22" t="s">
        <v>20</v>
      </c>
      <c r="Q69" s="23" t="s">
        <v>234</v>
      </c>
    </row>
    <row r="70" customFormat="false" ht="23.85" hidden="false" customHeight="false" outlineLevel="0" collapsed="false">
      <c r="A70" s="24" t="n">
        <v>69</v>
      </c>
      <c r="B70" s="25" t="s">
        <v>334</v>
      </c>
      <c r="C70" s="25" t="s">
        <v>335</v>
      </c>
      <c r="D70" s="25" t="s">
        <v>336</v>
      </c>
      <c r="E70" s="25" t="s">
        <v>337</v>
      </c>
      <c r="F70" s="25" t="s">
        <v>16</v>
      </c>
      <c r="G70" s="25" t="s">
        <v>129</v>
      </c>
      <c r="H70" s="25" t="s">
        <v>21</v>
      </c>
      <c r="I70" s="24" t="n">
        <v>20</v>
      </c>
      <c r="J70" s="24" t="n">
        <v>20</v>
      </c>
      <c r="K70" s="24" t="n">
        <v>10</v>
      </c>
      <c r="L70" s="24" t="n">
        <v>3</v>
      </c>
      <c r="N70" s="29" t="n">
        <f aca="false">I70+J70+K70+L70</f>
        <v>53</v>
      </c>
      <c r="O70" s="26" t="s">
        <v>310</v>
      </c>
      <c r="P70" s="25" t="s">
        <v>20</v>
      </c>
      <c r="Q70" s="26" t="s">
        <v>234</v>
      </c>
    </row>
    <row r="71" customFormat="false" ht="23.85" hidden="false" customHeight="false" outlineLevel="0" collapsed="false">
      <c r="A71" s="21" t="n">
        <v>70</v>
      </c>
      <c r="B71" s="22" t="s">
        <v>338</v>
      </c>
      <c r="C71" s="22" t="s">
        <v>339</v>
      </c>
      <c r="D71" s="22" t="s">
        <v>340</v>
      </c>
      <c r="E71" s="22" t="s">
        <v>341</v>
      </c>
      <c r="F71" s="22" t="s">
        <v>22</v>
      </c>
      <c r="G71" s="22" t="s">
        <v>55</v>
      </c>
      <c r="H71" s="22" t="s">
        <v>21</v>
      </c>
      <c r="I71" s="21" t="n">
        <v>12</v>
      </c>
      <c r="J71" s="21" t="n">
        <v>25</v>
      </c>
      <c r="K71" s="21" t="n">
        <v>10</v>
      </c>
      <c r="L71" s="21" t="n">
        <v>5</v>
      </c>
      <c r="N71" s="28" t="n">
        <f aca="false">I71+J71+K71+L71</f>
        <v>52</v>
      </c>
      <c r="O71" s="23" t="s">
        <v>342</v>
      </c>
      <c r="P71" s="22" t="s">
        <v>20</v>
      </c>
      <c r="Q71" s="23" t="s">
        <v>234</v>
      </c>
    </row>
    <row r="72" customFormat="false" ht="23.85" hidden="false" customHeight="false" outlineLevel="0" collapsed="false">
      <c r="A72" s="24" t="n">
        <v>71</v>
      </c>
      <c r="B72" s="25" t="s">
        <v>343</v>
      </c>
      <c r="C72" s="25" t="s">
        <v>344</v>
      </c>
      <c r="D72" s="25" t="s">
        <v>345</v>
      </c>
      <c r="E72" s="25" t="s">
        <v>346</v>
      </c>
      <c r="F72" s="25" t="s">
        <v>22</v>
      </c>
      <c r="G72" s="25" t="s">
        <v>55</v>
      </c>
      <c r="H72" s="25" t="s">
        <v>21</v>
      </c>
      <c r="I72" s="24" t="n">
        <v>12</v>
      </c>
      <c r="J72" s="24" t="n">
        <v>25</v>
      </c>
      <c r="K72" s="24" t="n">
        <v>10</v>
      </c>
      <c r="L72" s="24" t="n">
        <v>5</v>
      </c>
      <c r="N72" s="29" t="n">
        <f aca="false">I72+J72+K72+L72</f>
        <v>52</v>
      </c>
      <c r="O72" s="26" t="s">
        <v>342</v>
      </c>
      <c r="P72" s="25" t="s">
        <v>20</v>
      </c>
      <c r="Q72" s="26" t="s">
        <v>234</v>
      </c>
    </row>
    <row r="73" customFormat="false" ht="23.85" hidden="false" customHeight="false" outlineLevel="0" collapsed="false">
      <c r="A73" s="21" t="n">
        <v>72</v>
      </c>
      <c r="B73" s="22" t="s">
        <v>347</v>
      </c>
      <c r="C73" s="22" t="s">
        <v>348</v>
      </c>
      <c r="D73" s="22" t="s">
        <v>349</v>
      </c>
      <c r="E73" s="22" t="s">
        <v>350</v>
      </c>
      <c r="F73" s="22" t="s">
        <v>123</v>
      </c>
      <c r="G73" s="22" t="s">
        <v>39</v>
      </c>
      <c r="H73" s="22" t="s">
        <v>21</v>
      </c>
      <c r="I73" s="21" t="n">
        <v>5</v>
      </c>
      <c r="J73" s="21" t="n">
        <v>30</v>
      </c>
      <c r="K73" s="21" t="n">
        <v>10</v>
      </c>
      <c r="L73" s="21" t="n">
        <v>5</v>
      </c>
      <c r="N73" s="28" t="n">
        <f aca="false">I73+J73+K73+L73</f>
        <v>50</v>
      </c>
      <c r="O73" s="23" t="s">
        <v>351</v>
      </c>
      <c r="P73" s="22" t="s">
        <v>20</v>
      </c>
      <c r="Q73" s="23" t="s">
        <v>234</v>
      </c>
    </row>
    <row r="74" customFormat="false" ht="23.85" hidden="false" customHeight="false" outlineLevel="0" collapsed="false">
      <c r="A74" s="24" t="n">
        <v>73</v>
      </c>
      <c r="B74" s="25" t="s">
        <v>352</v>
      </c>
      <c r="C74" s="25" t="s">
        <v>353</v>
      </c>
      <c r="D74" s="25" t="s">
        <v>354</v>
      </c>
      <c r="E74" s="25" t="s">
        <v>355</v>
      </c>
      <c r="F74" s="25" t="s">
        <v>123</v>
      </c>
      <c r="G74" s="25" t="s">
        <v>39</v>
      </c>
      <c r="H74" s="25" t="s">
        <v>21</v>
      </c>
      <c r="I74" s="24" t="n">
        <v>5</v>
      </c>
      <c r="J74" s="24" t="n">
        <v>30</v>
      </c>
      <c r="K74" s="24" t="n">
        <v>10</v>
      </c>
      <c r="L74" s="24" t="n">
        <v>5</v>
      </c>
      <c r="N74" s="29" t="n">
        <f aca="false">I74+J74+K74+L74</f>
        <v>50</v>
      </c>
      <c r="O74" s="26" t="s">
        <v>351</v>
      </c>
      <c r="P74" s="25" t="s">
        <v>20</v>
      </c>
      <c r="Q74" s="26" t="s">
        <v>234</v>
      </c>
    </row>
    <row r="75" customFormat="false" ht="23.85" hidden="false" customHeight="false" outlineLevel="0" collapsed="false">
      <c r="A75" s="21" t="n">
        <v>74</v>
      </c>
      <c r="B75" s="22" t="s">
        <v>356</v>
      </c>
      <c r="C75" s="22" t="s">
        <v>357</v>
      </c>
      <c r="D75" s="22" t="s">
        <v>358</v>
      </c>
      <c r="E75" s="22" t="s">
        <v>359</v>
      </c>
      <c r="F75" s="22" t="s">
        <v>123</v>
      </c>
      <c r="G75" s="22" t="s">
        <v>39</v>
      </c>
      <c r="H75" s="22" t="s">
        <v>21</v>
      </c>
      <c r="I75" s="21" t="n">
        <v>5</v>
      </c>
      <c r="J75" s="21" t="n">
        <v>30</v>
      </c>
      <c r="K75" s="21" t="n">
        <v>10</v>
      </c>
      <c r="L75" s="21" t="n">
        <v>5</v>
      </c>
      <c r="N75" s="28" t="n">
        <f aca="false">I75+J75+K75+L75</f>
        <v>50</v>
      </c>
      <c r="O75" s="23" t="s">
        <v>351</v>
      </c>
      <c r="P75" s="22" t="s">
        <v>20</v>
      </c>
      <c r="Q75" s="23" t="s">
        <v>234</v>
      </c>
    </row>
    <row r="76" customFormat="false" ht="23.85" hidden="false" customHeight="false" outlineLevel="0" collapsed="false">
      <c r="A76" s="24" t="n">
        <v>75</v>
      </c>
      <c r="B76" s="25" t="s">
        <v>360</v>
      </c>
      <c r="C76" s="25" t="s">
        <v>361</v>
      </c>
      <c r="D76" s="25" t="s">
        <v>362</v>
      </c>
      <c r="E76" s="25" t="s">
        <v>363</v>
      </c>
      <c r="F76" s="25" t="s">
        <v>123</v>
      </c>
      <c r="G76" s="25" t="s">
        <v>39</v>
      </c>
      <c r="H76" s="25" t="s">
        <v>21</v>
      </c>
      <c r="I76" s="24" t="n">
        <v>5</v>
      </c>
      <c r="J76" s="24" t="n">
        <v>30</v>
      </c>
      <c r="K76" s="24" t="n">
        <v>10</v>
      </c>
      <c r="L76" s="24" t="n">
        <v>5</v>
      </c>
      <c r="N76" s="29" t="n">
        <f aca="false">I76+J76+K76+L76</f>
        <v>50</v>
      </c>
      <c r="O76" s="26" t="s">
        <v>351</v>
      </c>
      <c r="P76" s="25" t="s">
        <v>20</v>
      </c>
      <c r="Q76" s="26" t="s">
        <v>234</v>
      </c>
    </row>
    <row r="77" customFormat="false" ht="23.85" hidden="false" customHeight="false" outlineLevel="0" collapsed="false">
      <c r="A77" s="21" t="n">
        <v>76</v>
      </c>
      <c r="B77" s="22" t="s">
        <v>364</v>
      </c>
      <c r="C77" s="22" t="s">
        <v>365</v>
      </c>
      <c r="D77" s="22" t="s">
        <v>366</v>
      </c>
      <c r="E77" s="22" t="s">
        <v>367</v>
      </c>
      <c r="F77" s="22" t="s">
        <v>123</v>
      </c>
      <c r="G77" s="22" t="s">
        <v>39</v>
      </c>
      <c r="H77" s="22" t="s">
        <v>21</v>
      </c>
      <c r="I77" s="21" t="n">
        <v>5</v>
      </c>
      <c r="J77" s="21" t="n">
        <v>30</v>
      </c>
      <c r="K77" s="21" t="n">
        <v>10</v>
      </c>
      <c r="L77" s="21" t="n">
        <v>5</v>
      </c>
      <c r="N77" s="28" t="n">
        <f aca="false">I77+J77+K77+L77</f>
        <v>50</v>
      </c>
      <c r="O77" s="23" t="s">
        <v>351</v>
      </c>
      <c r="P77" s="22" t="s">
        <v>20</v>
      </c>
      <c r="Q77" s="23" t="s">
        <v>234</v>
      </c>
    </row>
    <row r="78" customFormat="false" ht="23.85" hidden="false" customHeight="false" outlineLevel="0" collapsed="false">
      <c r="A78" s="24" t="n">
        <v>77</v>
      </c>
      <c r="B78" s="25" t="s">
        <v>368</v>
      </c>
      <c r="C78" s="25" t="s">
        <v>369</v>
      </c>
      <c r="D78" s="25" t="s">
        <v>370</v>
      </c>
      <c r="E78" s="25" t="s">
        <v>371</v>
      </c>
      <c r="F78" s="25" t="s">
        <v>123</v>
      </c>
      <c r="G78" s="25" t="s">
        <v>39</v>
      </c>
      <c r="H78" s="25" t="s">
        <v>21</v>
      </c>
      <c r="I78" s="24" t="n">
        <v>5</v>
      </c>
      <c r="J78" s="24" t="n">
        <v>30</v>
      </c>
      <c r="K78" s="24" t="n">
        <v>10</v>
      </c>
      <c r="L78" s="24" t="n">
        <v>5</v>
      </c>
      <c r="N78" s="29" t="n">
        <f aca="false">I78+J78+K78+L78</f>
        <v>50</v>
      </c>
      <c r="O78" s="26" t="s">
        <v>351</v>
      </c>
      <c r="P78" s="25" t="s">
        <v>20</v>
      </c>
      <c r="Q78" s="26" t="s">
        <v>234</v>
      </c>
    </row>
    <row r="79" customFormat="false" ht="23.85" hidden="false" customHeight="false" outlineLevel="0" collapsed="false">
      <c r="A79" s="21" t="n">
        <v>78</v>
      </c>
      <c r="B79" s="22" t="s">
        <v>372</v>
      </c>
      <c r="C79" s="22" t="s">
        <v>373</v>
      </c>
      <c r="D79" s="22" t="s">
        <v>374</v>
      </c>
      <c r="E79" s="22" t="s">
        <v>375</v>
      </c>
      <c r="F79" s="22" t="s">
        <v>123</v>
      </c>
      <c r="G79" s="22" t="s">
        <v>39</v>
      </c>
      <c r="H79" s="22" t="s">
        <v>21</v>
      </c>
      <c r="I79" s="21" t="n">
        <v>5</v>
      </c>
      <c r="J79" s="21" t="n">
        <v>30</v>
      </c>
      <c r="K79" s="21" t="n">
        <v>10</v>
      </c>
      <c r="L79" s="21" t="n">
        <v>5</v>
      </c>
      <c r="N79" s="28" t="n">
        <f aca="false">I79+J79+K79+L79</f>
        <v>50</v>
      </c>
      <c r="O79" s="23" t="s">
        <v>351</v>
      </c>
      <c r="P79" s="22" t="s">
        <v>20</v>
      </c>
      <c r="Q79" s="23" t="s">
        <v>234</v>
      </c>
    </row>
    <row r="80" customFormat="false" ht="23.85" hidden="false" customHeight="false" outlineLevel="0" collapsed="false">
      <c r="A80" s="24" t="n">
        <v>79</v>
      </c>
      <c r="B80" s="25" t="s">
        <v>376</v>
      </c>
      <c r="C80" s="25" t="s">
        <v>377</v>
      </c>
      <c r="D80" s="25" t="s">
        <v>378</v>
      </c>
      <c r="E80" s="25" t="s">
        <v>379</v>
      </c>
      <c r="F80" s="25" t="s">
        <v>123</v>
      </c>
      <c r="G80" s="25" t="s">
        <v>39</v>
      </c>
      <c r="H80" s="25" t="s">
        <v>21</v>
      </c>
      <c r="I80" s="24" t="n">
        <v>5</v>
      </c>
      <c r="J80" s="24" t="n">
        <v>30</v>
      </c>
      <c r="K80" s="24" t="n">
        <v>10</v>
      </c>
      <c r="L80" s="24" t="n">
        <v>5</v>
      </c>
      <c r="N80" s="29" t="n">
        <f aca="false">I80+J80+K80+L80</f>
        <v>50</v>
      </c>
      <c r="O80" s="26" t="s">
        <v>351</v>
      </c>
      <c r="P80" s="25" t="s">
        <v>20</v>
      </c>
      <c r="Q80" s="26" t="s">
        <v>234</v>
      </c>
    </row>
    <row r="81" customFormat="false" ht="23.85" hidden="false" customHeight="false" outlineLevel="0" collapsed="false">
      <c r="A81" s="21" t="n">
        <v>80</v>
      </c>
      <c r="B81" s="22" t="s">
        <v>380</v>
      </c>
      <c r="C81" s="22" t="s">
        <v>381</v>
      </c>
      <c r="D81" s="22" t="s">
        <v>382</v>
      </c>
      <c r="E81" s="22" t="s">
        <v>383</v>
      </c>
      <c r="F81" s="22" t="s">
        <v>123</v>
      </c>
      <c r="G81" s="22" t="s">
        <v>39</v>
      </c>
      <c r="H81" s="22" t="s">
        <v>21</v>
      </c>
      <c r="I81" s="21" t="n">
        <v>5</v>
      </c>
      <c r="J81" s="21" t="n">
        <v>30</v>
      </c>
      <c r="K81" s="21" t="n">
        <v>10</v>
      </c>
      <c r="L81" s="21" t="n">
        <v>5</v>
      </c>
      <c r="N81" s="28" t="n">
        <f aca="false">I81+J81+K81+L81</f>
        <v>50</v>
      </c>
      <c r="O81" s="23" t="s">
        <v>351</v>
      </c>
      <c r="P81" s="22" t="s">
        <v>20</v>
      </c>
      <c r="Q81" s="23" t="s">
        <v>234</v>
      </c>
    </row>
    <row r="82" customFormat="false" ht="23.85" hidden="false" customHeight="false" outlineLevel="0" collapsed="false">
      <c r="A82" s="24" t="n">
        <v>81</v>
      </c>
      <c r="B82" s="25" t="s">
        <v>384</v>
      </c>
      <c r="C82" s="25" t="s">
        <v>385</v>
      </c>
      <c r="D82" s="25" t="s">
        <v>386</v>
      </c>
      <c r="E82" s="25" t="s">
        <v>387</v>
      </c>
      <c r="F82" s="25" t="s">
        <v>123</v>
      </c>
      <c r="G82" s="25" t="s">
        <v>39</v>
      </c>
      <c r="H82" s="25" t="s">
        <v>21</v>
      </c>
      <c r="I82" s="24" t="n">
        <v>5</v>
      </c>
      <c r="J82" s="24" t="n">
        <v>30</v>
      </c>
      <c r="K82" s="24" t="n">
        <v>10</v>
      </c>
      <c r="L82" s="24" t="n">
        <v>5</v>
      </c>
      <c r="N82" s="29" t="n">
        <f aca="false">I82+J82+K82+L82</f>
        <v>50</v>
      </c>
      <c r="O82" s="26" t="s">
        <v>351</v>
      </c>
      <c r="P82" s="25" t="s">
        <v>20</v>
      </c>
      <c r="Q82" s="26" t="s">
        <v>234</v>
      </c>
    </row>
    <row r="83" customFormat="false" ht="23.85" hidden="false" customHeight="false" outlineLevel="0" collapsed="false">
      <c r="A83" s="21" t="n">
        <v>82</v>
      </c>
      <c r="B83" s="22" t="s">
        <v>388</v>
      </c>
      <c r="C83" s="22" t="s">
        <v>389</v>
      </c>
      <c r="D83" s="22" t="s">
        <v>390</v>
      </c>
      <c r="E83" s="22" t="s">
        <v>391</v>
      </c>
      <c r="F83" s="22" t="s">
        <v>123</v>
      </c>
      <c r="G83" s="22" t="s">
        <v>39</v>
      </c>
      <c r="H83" s="22" t="s">
        <v>21</v>
      </c>
      <c r="I83" s="21" t="n">
        <v>5</v>
      </c>
      <c r="J83" s="21" t="n">
        <v>30</v>
      </c>
      <c r="K83" s="21" t="n">
        <v>10</v>
      </c>
      <c r="L83" s="21" t="n">
        <v>5</v>
      </c>
      <c r="N83" s="28" t="n">
        <f aca="false">I83+J83+K83+L83</f>
        <v>50</v>
      </c>
      <c r="O83" s="23" t="s">
        <v>351</v>
      </c>
      <c r="P83" s="22" t="s">
        <v>20</v>
      </c>
      <c r="Q83" s="23" t="s">
        <v>234</v>
      </c>
    </row>
    <row r="84" customFormat="false" ht="23.85" hidden="false" customHeight="false" outlineLevel="0" collapsed="false">
      <c r="A84" s="24" t="n">
        <v>83</v>
      </c>
      <c r="B84" s="25" t="s">
        <v>392</v>
      </c>
      <c r="C84" s="25" t="s">
        <v>393</v>
      </c>
      <c r="D84" s="25" t="s">
        <v>394</v>
      </c>
      <c r="E84" s="25" t="s">
        <v>395</v>
      </c>
      <c r="F84" s="25" t="s">
        <v>19</v>
      </c>
      <c r="G84" s="25" t="s">
        <v>129</v>
      </c>
      <c r="H84" s="25" t="s">
        <v>21</v>
      </c>
      <c r="I84" s="24" t="n">
        <v>15</v>
      </c>
      <c r="J84" s="24" t="n">
        <v>20</v>
      </c>
      <c r="K84" s="24" t="n">
        <v>10</v>
      </c>
      <c r="L84" s="24" t="n">
        <v>5</v>
      </c>
      <c r="N84" s="29" t="n">
        <f aca="false">I84+J84+K84+L84</f>
        <v>50</v>
      </c>
      <c r="O84" s="26" t="s">
        <v>396</v>
      </c>
      <c r="P84" s="25" t="s">
        <v>20</v>
      </c>
      <c r="Q84" s="26" t="s">
        <v>234</v>
      </c>
    </row>
    <row r="85" customFormat="false" ht="23.85" hidden="false" customHeight="false" outlineLevel="0" collapsed="false">
      <c r="A85" s="21" t="n">
        <v>84</v>
      </c>
      <c r="B85" s="22" t="s">
        <v>397</v>
      </c>
      <c r="C85" s="22" t="s">
        <v>398</v>
      </c>
      <c r="D85" s="22" t="s">
        <v>399</v>
      </c>
      <c r="E85" s="22" t="s">
        <v>400</v>
      </c>
      <c r="F85" s="22" t="s">
        <v>123</v>
      </c>
      <c r="G85" s="22" t="s">
        <v>39</v>
      </c>
      <c r="H85" s="22" t="s">
        <v>21</v>
      </c>
      <c r="I85" s="21" t="n">
        <v>5</v>
      </c>
      <c r="J85" s="21" t="n">
        <v>30</v>
      </c>
      <c r="K85" s="21" t="n">
        <v>10</v>
      </c>
      <c r="L85" s="21" t="n">
        <v>5</v>
      </c>
      <c r="N85" s="28" t="n">
        <f aca="false">I85+J85+K85+L85</f>
        <v>50</v>
      </c>
      <c r="O85" s="23" t="s">
        <v>351</v>
      </c>
      <c r="P85" s="22" t="s">
        <v>20</v>
      </c>
      <c r="Q85" s="23" t="s">
        <v>234</v>
      </c>
    </row>
    <row r="86" customFormat="false" ht="23.85" hidden="false" customHeight="false" outlineLevel="0" collapsed="false">
      <c r="A86" s="24" t="n">
        <v>85</v>
      </c>
      <c r="B86" s="25" t="s">
        <v>401</v>
      </c>
      <c r="C86" s="25" t="s">
        <v>402</v>
      </c>
      <c r="D86" s="25" t="s">
        <v>403</v>
      </c>
      <c r="E86" s="25" t="s">
        <v>404</v>
      </c>
      <c r="F86" s="25" t="s">
        <v>123</v>
      </c>
      <c r="G86" s="25" t="s">
        <v>39</v>
      </c>
      <c r="H86" s="25" t="s">
        <v>21</v>
      </c>
      <c r="I86" s="24" t="n">
        <v>5</v>
      </c>
      <c r="J86" s="24" t="n">
        <v>30</v>
      </c>
      <c r="K86" s="24" t="n">
        <v>10</v>
      </c>
      <c r="L86" s="24" t="n">
        <v>5</v>
      </c>
      <c r="N86" s="29" t="n">
        <f aca="false">I86+J86+K86+L86</f>
        <v>50</v>
      </c>
      <c r="O86" s="26" t="s">
        <v>351</v>
      </c>
      <c r="P86" s="25" t="s">
        <v>20</v>
      </c>
      <c r="Q86" s="26" t="s">
        <v>234</v>
      </c>
    </row>
    <row r="87" customFormat="false" ht="23.85" hidden="false" customHeight="false" outlineLevel="0" collapsed="false">
      <c r="A87" s="21" t="n">
        <v>86</v>
      </c>
      <c r="B87" s="22" t="s">
        <v>405</v>
      </c>
      <c r="C87" s="22" t="s">
        <v>406</v>
      </c>
      <c r="D87" s="22" t="s">
        <v>407</v>
      </c>
      <c r="E87" s="22" t="s">
        <v>408</v>
      </c>
      <c r="F87" s="22" t="s">
        <v>19</v>
      </c>
      <c r="G87" s="22" t="s">
        <v>129</v>
      </c>
      <c r="H87" s="22" t="s">
        <v>21</v>
      </c>
      <c r="I87" s="21" t="n">
        <v>15</v>
      </c>
      <c r="J87" s="21" t="n">
        <v>20</v>
      </c>
      <c r="K87" s="21" t="n">
        <v>10</v>
      </c>
      <c r="L87" s="21" t="n">
        <v>5</v>
      </c>
      <c r="N87" s="28" t="n">
        <f aca="false">I87+J87+K87+L87</f>
        <v>50</v>
      </c>
      <c r="O87" s="23" t="s">
        <v>396</v>
      </c>
      <c r="P87" s="22" t="s">
        <v>20</v>
      </c>
      <c r="Q87" s="23" t="s">
        <v>234</v>
      </c>
    </row>
    <row r="88" customFormat="false" ht="23.85" hidden="false" customHeight="false" outlineLevel="0" collapsed="false">
      <c r="A88" s="24" t="n">
        <v>87</v>
      </c>
      <c r="B88" s="25" t="s">
        <v>409</v>
      </c>
      <c r="C88" s="25" t="s">
        <v>410</v>
      </c>
      <c r="D88" s="25" t="s">
        <v>411</v>
      </c>
      <c r="E88" s="25" t="s">
        <v>412</v>
      </c>
      <c r="F88" s="25" t="s">
        <v>19</v>
      </c>
      <c r="G88" s="25" t="s">
        <v>129</v>
      </c>
      <c r="H88" s="25" t="s">
        <v>21</v>
      </c>
      <c r="I88" s="24" t="n">
        <v>15</v>
      </c>
      <c r="J88" s="24" t="n">
        <v>20</v>
      </c>
      <c r="K88" s="24" t="n">
        <v>10</v>
      </c>
      <c r="L88" s="24" t="n">
        <v>5</v>
      </c>
      <c r="N88" s="29" t="n">
        <f aca="false">I88+J88+K88+L88</f>
        <v>50</v>
      </c>
      <c r="O88" s="26" t="s">
        <v>396</v>
      </c>
      <c r="P88" s="25" t="s">
        <v>20</v>
      </c>
      <c r="Q88" s="26" t="s">
        <v>234</v>
      </c>
    </row>
    <row r="89" customFormat="false" ht="23.85" hidden="false" customHeight="false" outlineLevel="0" collapsed="false">
      <c r="A89" s="21" t="n">
        <v>88</v>
      </c>
      <c r="B89" s="22" t="s">
        <v>413</v>
      </c>
      <c r="C89" s="22" t="s">
        <v>414</v>
      </c>
      <c r="D89" s="22" t="s">
        <v>415</v>
      </c>
      <c r="E89" s="22" t="s">
        <v>416</v>
      </c>
      <c r="F89" s="22" t="s">
        <v>123</v>
      </c>
      <c r="G89" s="22" t="s">
        <v>39</v>
      </c>
      <c r="H89" s="22" t="s">
        <v>21</v>
      </c>
      <c r="I89" s="21" t="n">
        <v>5</v>
      </c>
      <c r="J89" s="21" t="n">
        <v>30</v>
      </c>
      <c r="K89" s="21" t="n">
        <v>10</v>
      </c>
      <c r="L89" s="21" t="n">
        <v>5</v>
      </c>
      <c r="N89" s="28" t="n">
        <f aca="false">I89+J89+K89+L89</f>
        <v>50</v>
      </c>
      <c r="O89" s="23" t="s">
        <v>351</v>
      </c>
      <c r="P89" s="22" t="s">
        <v>20</v>
      </c>
      <c r="Q89" s="23" t="s">
        <v>234</v>
      </c>
    </row>
    <row r="90" customFormat="false" ht="23.85" hidden="false" customHeight="false" outlineLevel="0" collapsed="false">
      <c r="A90" s="24" t="n">
        <v>89</v>
      </c>
      <c r="B90" s="25" t="s">
        <v>417</v>
      </c>
      <c r="C90" s="25" t="s">
        <v>418</v>
      </c>
      <c r="D90" s="25" t="s">
        <v>419</v>
      </c>
      <c r="E90" s="25" t="s">
        <v>420</v>
      </c>
      <c r="F90" s="25" t="s">
        <v>19</v>
      </c>
      <c r="G90" s="25" t="s">
        <v>129</v>
      </c>
      <c r="H90" s="25" t="s">
        <v>21</v>
      </c>
      <c r="I90" s="24" t="n">
        <v>15</v>
      </c>
      <c r="J90" s="24" t="n">
        <v>20</v>
      </c>
      <c r="K90" s="24" t="n">
        <v>10</v>
      </c>
      <c r="L90" s="24" t="n">
        <v>5</v>
      </c>
      <c r="N90" s="29" t="n">
        <f aca="false">I90+J90+K90+L90</f>
        <v>50</v>
      </c>
      <c r="O90" s="26" t="s">
        <v>396</v>
      </c>
      <c r="P90" s="25" t="s">
        <v>20</v>
      </c>
      <c r="Q90" s="26" t="s">
        <v>234</v>
      </c>
    </row>
    <row r="91" customFormat="false" ht="23.85" hidden="false" customHeight="false" outlineLevel="0" collapsed="false">
      <c r="A91" s="21" t="n">
        <v>90</v>
      </c>
      <c r="B91" s="22" t="s">
        <v>421</v>
      </c>
      <c r="C91" s="22" t="s">
        <v>422</v>
      </c>
      <c r="D91" s="22" t="s">
        <v>423</v>
      </c>
      <c r="E91" s="22" t="s">
        <v>424</v>
      </c>
      <c r="F91" s="22" t="s">
        <v>19</v>
      </c>
      <c r="G91" s="22" t="s">
        <v>129</v>
      </c>
      <c r="H91" s="22" t="s">
        <v>21</v>
      </c>
      <c r="I91" s="21" t="n">
        <v>15</v>
      </c>
      <c r="J91" s="21" t="n">
        <v>20</v>
      </c>
      <c r="K91" s="21" t="n">
        <v>10</v>
      </c>
      <c r="L91" s="21" t="n">
        <v>5</v>
      </c>
      <c r="N91" s="28" t="n">
        <f aca="false">I91+J91+K91+L91</f>
        <v>50</v>
      </c>
      <c r="O91" s="23" t="s">
        <v>396</v>
      </c>
      <c r="P91" s="22" t="s">
        <v>20</v>
      </c>
      <c r="Q91" s="23" t="s">
        <v>234</v>
      </c>
    </row>
    <row r="92" customFormat="false" ht="23.85" hidden="false" customHeight="false" outlineLevel="0" collapsed="false">
      <c r="A92" s="24" t="n">
        <v>91</v>
      </c>
      <c r="B92" s="25" t="s">
        <v>425</v>
      </c>
      <c r="C92" s="25" t="s">
        <v>426</v>
      </c>
      <c r="D92" s="25" t="s">
        <v>427</v>
      </c>
      <c r="E92" s="25" t="s">
        <v>428</v>
      </c>
      <c r="F92" s="25" t="s">
        <v>123</v>
      </c>
      <c r="G92" s="25" t="s">
        <v>39</v>
      </c>
      <c r="H92" s="25" t="s">
        <v>21</v>
      </c>
      <c r="I92" s="24" t="n">
        <v>5</v>
      </c>
      <c r="J92" s="24" t="n">
        <v>30</v>
      </c>
      <c r="K92" s="24" t="n">
        <v>10</v>
      </c>
      <c r="L92" s="24" t="n">
        <v>5</v>
      </c>
      <c r="N92" s="29" t="n">
        <f aca="false">I92+J92+K92+L92</f>
        <v>50</v>
      </c>
      <c r="O92" s="26" t="s">
        <v>351</v>
      </c>
      <c r="P92" s="25" t="s">
        <v>20</v>
      </c>
      <c r="Q92" s="26" t="s">
        <v>234</v>
      </c>
    </row>
    <row r="93" customFormat="false" ht="23.85" hidden="false" customHeight="false" outlineLevel="0" collapsed="false">
      <c r="A93" s="21" t="n">
        <v>92</v>
      </c>
      <c r="B93" s="22" t="s">
        <v>429</v>
      </c>
      <c r="C93" s="22" t="s">
        <v>430</v>
      </c>
      <c r="D93" s="22" t="s">
        <v>431</v>
      </c>
      <c r="E93" s="22" t="s">
        <v>432</v>
      </c>
      <c r="F93" s="22" t="s">
        <v>123</v>
      </c>
      <c r="G93" s="22" t="s">
        <v>39</v>
      </c>
      <c r="H93" s="22" t="s">
        <v>21</v>
      </c>
      <c r="I93" s="21" t="n">
        <v>5</v>
      </c>
      <c r="J93" s="21" t="n">
        <v>30</v>
      </c>
      <c r="K93" s="21" t="n">
        <v>10</v>
      </c>
      <c r="L93" s="21" t="n">
        <v>5</v>
      </c>
      <c r="N93" s="28" t="n">
        <f aca="false">I93+J93+K93+L93</f>
        <v>50</v>
      </c>
      <c r="O93" s="23" t="s">
        <v>351</v>
      </c>
      <c r="P93" s="22" t="s">
        <v>20</v>
      </c>
      <c r="Q93" s="23" t="s">
        <v>234</v>
      </c>
    </row>
    <row r="94" customFormat="false" ht="23.85" hidden="false" customHeight="false" outlineLevel="0" collapsed="false">
      <c r="A94" s="24" t="n">
        <v>93</v>
      </c>
      <c r="B94" s="25" t="s">
        <v>433</v>
      </c>
      <c r="C94" s="25" t="s">
        <v>434</v>
      </c>
      <c r="D94" s="25" t="s">
        <v>435</v>
      </c>
      <c r="E94" s="25" t="s">
        <v>436</v>
      </c>
      <c r="F94" s="25" t="s">
        <v>22</v>
      </c>
      <c r="G94" s="25" t="s">
        <v>129</v>
      </c>
      <c r="H94" s="25" t="s">
        <v>21</v>
      </c>
      <c r="I94" s="24" t="n">
        <v>12</v>
      </c>
      <c r="J94" s="24" t="n">
        <v>20</v>
      </c>
      <c r="K94" s="24" t="n">
        <v>10</v>
      </c>
      <c r="L94" s="24" t="n">
        <v>5</v>
      </c>
      <c r="N94" s="29" t="n">
        <f aca="false">I94+J94+K94+L94</f>
        <v>47</v>
      </c>
      <c r="O94" s="26" t="s">
        <v>437</v>
      </c>
      <c r="P94" s="25" t="s">
        <v>20</v>
      </c>
      <c r="Q94" s="26" t="s">
        <v>234</v>
      </c>
    </row>
    <row r="95" customFormat="false" ht="23.85" hidden="false" customHeight="false" outlineLevel="0" collapsed="false">
      <c r="A95" s="21" t="n">
        <v>94</v>
      </c>
      <c r="B95" s="22" t="s">
        <v>438</v>
      </c>
      <c r="C95" s="22" t="s">
        <v>439</v>
      </c>
      <c r="D95" s="22" t="s">
        <v>440</v>
      </c>
      <c r="E95" s="22" t="s">
        <v>441</v>
      </c>
      <c r="F95" s="22" t="s">
        <v>22</v>
      </c>
      <c r="G95" s="22" t="s">
        <v>129</v>
      </c>
      <c r="H95" s="22" t="s">
        <v>21</v>
      </c>
      <c r="I95" s="21" t="n">
        <v>12</v>
      </c>
      <c r="J95" s="21" t="n">
        <v>20</v>
      </c>
      <c r="K95" s="21" t="n">
        <v>10</v>
      </c>
      <c r="L95" s="21" t="n">
        <v>5</v>
      </c>
      <c r="N95" s="28" t="n">
        <f aca="false">I95+J95+K95+L95</f>
        <v>47</v>
      </c>
      <c r="O95" s="23" t="s">
        <v>437</v>
      </c>
      <c r="P95" s="22" t="s">
        <v>20</v>
      </c>
      <c r="Q95" s="23" t="s">
        <v>234</v>
      </c>
    </row>
    <row r="96" customFormat="false" ht="23.85" hidden="false" customHeight="false" outlineLevel="0" collapsed="false">
      <c r="A96" s="24" t="n">
        <v>95</v>
      </c>
      <c r="B96" s="25" t="s">
        <v>442</v>
      </c>
      <c r="C96" s="25" t="s">
        <v>443</v>
      </c>
      <c r="D96" s="25" t="s">
        <v>444</v>
      </c>
      <c r="E96" s="25" t="s">
        <v>445</v>
      </c>
      <c r="F96" s="25" t="s">
        <v>22</v>
      </c>
      <c r="G96" s="25" t="s">
        <v>129</v>
      </c>
      <c r="H96" s="25" t="s">
        <v>21</v>
      </c>
      <c r="I96" s="24" t="n">
        <v>12</v>
      </c>
      <c r="J96" s="24" t="n">
        <v>20</v>
      </c>
      <c r="K96" s="24" t="n">
        <v>10</v>
      </c>
      <c r="L96" s="24" t="n">
        <v>5</v>
      </c>
      <c r="N96" s="29" t="n">
        <f aca="false">I96+J96+K96+L96</f>
        <v>47</v>
      </c>
      <c r="O96" s="26" t="s">
        <v>437</v>
      </c>
      <c r="P96" s="25" t="s">
        <v>20</v>
      </c>
      <c r="Q96" s="26" t="s">
        <v>234</v>
      </c>
    </row>
    <row r="97" customFormat="false" ht="23.85" hidden="false" customHeight="false" outlineLevel="0" collapsed="false">
      <c r="A97" s="21" t="n">
        <v>96</v>
      </c>
      <c r="B97" s="22" t="s">
        <v>446</v>
      </c>
      <c r="C97" s="22" t="s">
        <v>447</v>
      </c>
      <c r="D97" s="22" t="s">
        <v>448</v>
      </c>
      <c r="E97" s="22" t="s">
        <v>449</v>
      </c>
      <c r="F97" s="22" t="s">
        <v>22</v>
      </c>
      <c r="G97" s="22" t="s">
        <v>129</v>
      </c>
      <c r="H97" s="22" t="s">
        <v>21</v>
      </c>
      <c r="I97" s="21" t="n">
        <v>12</v>
      </c>
      <c r="J97" s="21" t="n">
        <v>20</v>
      </c>
      <c r="K97" s="21" t="n">
        <v>10</v>
      </c>
      <c r="L97" s="21" t="n">
        <v>5</v>
      </c>
      <c r="N97" s="28" t="n">
        <f aca="false">I97+J97+K97+L97</f>
        <v>47</v>
      </c>
      <c r="O97" s="23" t="s">
        <v>437</v>
      </c>
      <c r="P97" s="22" t="s">
        <v>20</v>
      </c>
      <c r="Q97" s="23" t="s">
        <v>234</v>
      </c>
    </row>
    <row r="98" customFormat="false" ht="23.85" hidden="false" customHeight="false" outlineLevel="0" collapsed="false">
      <c r="A98" s="24" t="n">
        <v>97</v>
      </c>
      <c r="B98" s="25" t="s">
        <v>450</v>
      </c>
      <c r="C98" s="25" t="s">
        <v>451</v>
      </c>
      <c r="D98" s="25" t="s">
        <v>452</v>
      </c>
      <c r="E98" s="25" t="s">
        <v>453</v>
      </c>
      <c r="F98" s="25" t="s">
        <v>22</v>
      </c>
      <c r="G98" s="25" t="s">
        <v>129</v>
      </c>
      <c r="H98" s="25" t="s">
        <v>21</v>
      </c>
      <c r="I98" s="24" t="n">
        <v>12</v>
      </c>
      <c r="J98" s="24" t="n">
        <v>20</v>
      </c>
      <c r="K98" s="24" t="n">
        <v>10</v>
      </c>
      <c r="L98" s="24" t="n">
        <v>5</v>
      </c>
      <c r="N98" s="29" t="n">
        <f aca="false">I98+J98+K98+L98</f>
        <v>47</v>
      </c>
      <c r="O98" s="26" t="s">
        <v>437</v>
      </c>
      <c r="P98" s="25" t="s">
        <v>20</v>
      </c>
      <c r="Q98" s="26" t="s">
        <v>234</v>
      </c>
    </row>
    <row r="99" customFormat="false" ht="23.85" hidden="false" customHeight="false" outlineLevel="0" collapsed="false">
      <c r="A99" s="21" t="n">
        <v>98</v>
      </c>
      <c r="B99" s="22" t="s">
        <v>454</v>
      </c>
      <c r="C99" s="22" t="s">
        <v>455</v>
      </c>
      <c r="D99" s="22" t="s">
        <v>456</v>
      </c>
      <c r="E99" s="22" t="s">
        <v>457</v>
      </c>
      <c r="F99" s="22" t="s">
        <v>22</v>
      </c>
      <c r="G99" s="22" t="s">
        <v>129</v>
      </c>
      <c r="H99" s="22" t="s">
        <v>21</v>
      </c>
      <c r="I99" s="21" t="n">
        <v>12</v>
      </c>
      <c r="J99" s="21" t="n">
        <v>20</v>
      </c>
      <c r="K99" s="21" t="n">
        <v>10</v>
      </c>
      <c r="L99" s="21" t="n">
        <v>5</v>
      </c>
      <c r="N99" s="28" t="n">
        <f aca="false">I99+J99+K99+L99</f>
        <v>47</v>
      </c>
      <c r="O99" s="23" t="s">
        <v>437</v>
      </c>
      <c r="P99" s="22" t="s">
        <v>20</v>
      </c>
      <c r="Q99" s="23" t="s">
        <v>234</v>
      </c>
    </row>
    <row r="100" customFormat="false" ht="23.85" hidden="false" customHeight="false" outlineLevel="0" collapsed="false">
      <c r="A100" s="24" t="n">
        <v>99</v>
      </c>
      <c r="B100" s="25" t="s">
        <v>458</v>
      </c>
      <c r="C100" s="25" t="s">
        <v>459</v>
      </c>
      <c r="D100" s="25" t="s">
        <v>460</v>
      </c>
      <c r="E100" s="25" t="s">
        <v>461</v>
      </c>
      <c r="F100" s="25" t="s">
        <v>22</v>
      </c>
      <c r="G100" s="25" t="s">
        <v>129</v>
      </c>
      <c r="H100" s="25" t="s">
        <v>21</v>
      </c>
      <c r="I100" s="24" t="n">
        <v>12</v>
      </c>
      <c r="J100" s="24" t="n">
        <v>20</v>
      </c>
      <c r="K100" s="24" t="n">
        <v>10</v>
      </c>
      <c r="L100" s="24" t="n">
        <v>5</v>
      </c>
      <c r="N100" s="29" t="n">
        <f aca="false">I100+J100+K100+L100</f>
        <v>47</v>
      </c>
      <c r="O100" s="26" t="s">
        <v>437</v>
      </c>
      <c r="P100" s="25" t="s">
        <v>20</v>
      </c>
      <c r="Q100" s="26" t="s">
        <v>234</v>
      </c>
    </row>
    <row r="101" customFormat="false" ht="23.85" hidden="false" customHeight="false" outlineLevel="0" collapsed="false">
      <c r="A101" s="21" t="n">
        <v>100</v>
      </c>
      <c r="B101" s="22" t="s">
        <v>462</v>
      </c>
      <c r="C101" s="22" t="s">
        <v>463</v>
      </c>
      <c r="D101" s="22" t="s">
        <v>464</v>
      </c>
      <c r="E101" s="22" t="s">
        <v>465</v>
      </c>
      <c r="F101" s="22" t="s">
        <v>22</v>
      </c>
      <c r="G101" s="22" t="s">
        <v>129</v>
      </c>
      <c r="H101" s="22" t="s">
        <v>21</v>
      </c>
      <c r="I101" s="21" t="n">
        <v>12</v>
      </c>
      <c r="J101" s="21" t="n">
        <v>20</v>
      </c>
      <c r="K101" s="21" t="n">
        <v>10</v>
      </c>
      <c r="L101" s="21" t="n">
        <v>5</v>
      </c>
      <c r="N101" s="28" t="n">
        <f aca="false">I101+J101+K101+L101</f>
        <v>47</v>
      </c>
      <c r="O101" s="23" t="s">
        <v>437</v>
      </c>
      <c r="P101" s="22" t="s">
        <v>20</v>
      </c>
      <c r="Q101" s="23" t="s">
        <v>234</v>
      </c>
    </row>
    <row r="102" customFormat="false" ht="23.85" hidden="false" customHeight="false" outlineLevel="0" collapsed="false">
      <c r="A102" s="24" t="n">
        <v>101</v>
      </c>
      <c r="B102" s="25" t="s">
        <v>466</v>
      </c>
      <c r="C102" s="25" t="s">
        <v>467</v>
      </c>
      <c r="D102" s="25" t="s">
        <v>468</v>
      </c>
      <c r="E102" s="25" t="s">
        <v>469</v>
      </c>
      <c r="F102" s="25" t="s">
        <v>22</v>
      </c>
      <c r="G102" s="25" t="s">
        <v>129</v>
      </c>
      <c r="H102" s="25" t="s">
        <v>21</v>
      </c>
      <c r="I102" s="24" t="n">
        <v>12</v>
      </c>
      <c r="J102" s="24" t="n">
        <v>20</v>
      </c>
      <c r="K102" s="24" t="n">
        <v>10</v>
      </c>
      <c r="L102" s="24" t="n">
        <v>5</v>
      </c>
      <c r="N102" s="29" t="n">
        <f aca="false">I102+J102+K102+L102</f>
        <v>47</v>
      </c>
      <c r="O102" s="26" t="s">
        <v>437</v>
      </c>
      <c r="P102" s="25" t="s">
        <v>20</v>
      </c>
      <c r="Q102" s="26" t="s">
        <v>234</v>
      </c>
    </row>
    <row r="103" customFormat="false" ht="23.85" hidden="false" customHeight="false" outlineLevel="0" collapsed="false">
      <c r="A103" s="21" t="n">
        <v>102</v>
      </c>
      <c r="B103" s="22" t="s">
        <v>470</v>
      </c>
      <c r="C103" s="22" t="s">
        <v>471</v>
      </c>
      <c r="D103" s="22" t="s">
        <v>472</v>
      </c>
      <c r="E103" s="22" t="s">
        <v>473</v>
      </c>
      <c r="F103" s="22" t="s">
        <v>22</v>
      </c>
      <c r="G103" s="22" t="s">
        <v>129</v>
      </c>
      <c r="H103" s="22" t="s">
        <v>21</v>
      </c>
      <c r="I103" s="21" t="n">
        <v>12</v>
      </c>
      <c r="J103" s="21" t="n">
        <v>20</v>
      </c>
      <c r="K103" s="21" t="n">
        <v>10</v>
      </c>
      <c r="L103" s="21" t="n">
        <v>5</v>
      </c>
      <c r="N103" s="28" t="n">
        <f aca="false">I103+J103+K103+L103</f>
        <v>47</v>
      </c>
      <c r="O103" s="23" t="s">
        <v>437</v>
      </c>
      <c r="P103" s="22" t="s">
        <v>20</v>
      </c>
      <c r="Q103" s="23" t="s">
        <v>234</v>
      </c>
    </row>
    <row r="104" customFormat="false" ht="23.85" hidden="false" customHeight="false" outlineLevel="0" collapsed="false">
      <c r="A104" s="24" t="n">
        <v>103</v>
      </c>
      <c r="B104" s="25" t="s">
        <v>474</v>
      </c>
      <c r="C104" s="25" t="s">
        <v>475</v>
      </c>
      <c r="D104" s="25" t="s">
        <v>476</v>
      </c>
      <c r="E104" s="25" t="s">
        <v>477</v>
      </c>
      <c r="F104" s="25" t="s">
        <v>22</v>
      </c>
      <c r="G104" s="25" t="s">
        <v>129</v>
      </c>
      <c r="H104" s="25" t="s">
        <v>21</v>
      </c>
      <c r="I104" s="24" t="n">
        <v>12</v>
      </c>
      <c r="J104" s="24" t="n">
        <v>20</v>
      </c>
      <c r="K104" s="24" t="n">
        <v>10</v>
      </c>
      <c r="L104" s="24" t="n">
        <v>5</v>
      </c>
      <c r="N104" s="29" t="n">
        <f aca="false">I104+J104+K104+L104</f>
        <v>47</v>
      </c>
      <c r="O104" s="26" t="s">
        <v>437</v>
      </c>
      <c r="P104" s="25" t="s">
        <v>20</v>
      </c>
      <c r="Q104" s="26" t="s">
        <v>234</v>
      </c>
    </row>
    <row r="105" customFormat="false" ht="23.85" hidden="false" customHeight="false" outlineLevel="0" collapsed="false">
      <c r="A105" s="21" t="n">
        <v>104</v>
      </c>
      <c r="B105" s="22" t="s">
        <v>478</v>
      </c>
      <c r="C105" s="22"/>
      <c r="D105" s="22" t="s">
        <v>479</v>
      </c>
      <c r="E105" s="22" t="s">
        <v>480</v>
      </c>
      <c r="F105" s="22" t="s">
        <v>22</v>
      </c>
      <c r="G105" s="22" t="s">
        <v>129</v>
      </c>
      <c r="H105" s="22" t="s">
        <v>21</v>
      </c>
      <c r="I105" s="21" t="n">
        <v>12</v>
      </c>
      <c r="J105" s="21" t="n">
        <v>20</v>
      </c>
      <c r="K105" s="21" t="n">
        <v>10</v>
      </c>
      <c r="L105" s="21" t="n">
        <v>5</v>
      </c>
      <c r="N105" s="28" t="n">
        <f aca="false">I105+J105+K105+L105</f>
        <v>47</v>
      </c>
      <c r="O105" s="23" t="s">
        <v>437</v>
      </c>
      <c r="P105" s="22" t="s">
        <v>20</v>
      </c>
      <c r="Q105" s="23" t="s">
        <v>234</v>
      </c>
    </row>
    <row r="106" customFormat="false" ht="23.85" hidden="false" customHeight="false" outlineLevel="0" collapsed="false">
      <c r="A106" s="24" t="n">
        <v>105</v>
      </c>
      <c r="B106" s="25" t="s">
        <v>481</v>
      </c>
      <c r="C106" s="25" t="s">
        <v>482</v>
      </c>
      <c r="D106" s="25" t="s">
        <v>483</v>
      </c>
      <c r="E106" s="25" t="s">
        <v>484</v>
      </c>
      <c r="F106" s="25" t="s">
        <v>22</v>
      </c>
      <c r="G106" s="25" t="s">
        <v>129</v>
      </c>
      <c r="H106" s="25" t="s">
        <v>21</v>
      </c>
      <c r="I106" s="24" t="n">
        <v>12</v>
      </c>
      <c r="J106" s="24" t="n">
        <v>20</v>
      </c>
      <c r="K106" s="24" t="n">
        <v>10</v>
      </c>
      <c r="L106" s="24" t="n">
        <v>5</v>
      </c>
      <c r="N106" s="29" t="n">
        <f aca="false">I106+J106+K106+L106</f>
        <v>47</v>
      </c>
      <c r="O106" s="26" t="s">
        <v>437</v>
      </c>
      <c r="P106" s="25" t="s">
        <v>20</v>
      </c>
      <c r="Q106" s="26" t="s">
        <v>234</v>
      </c>
    </row>
    <row r="107" customFormat="false" ht="23.85" hidden="false" customHeight="false" outlineLevel="0" collapsed="false">
      <c r="A107" s="21" t="n">
        <v>106</v>
      </c>
      <c r="B107" s="22" t="s">
        <v>485</v>
      </c>
      <c r="C107" s="22"/>
      <c r="D107" s="22" t="s">
        <v>486</v>
      </c>
      <c r="E107" s="22" t="s">
        <v>487</v>
      </c>
      <c r="F107" s="22" t="s">
        <v>22</v>
      </c>
      <c r="G107" s="22" t="s">
        <v>129</v>
      </c>
      <c r="H107" s="22" t="s">
        <v>21</v>
      </c>
      <c r="I107" s="21" t="n">
        <v>12</v>
      </c>
      <c r="J107" s="21" t="n">
        <v>20</v>
      </c>
      <c r="K107" s="21" t="n">
        <v>10</v>
      </c>
      <c r="L107" s="21" t="n">
        <v>5</v>
      </c>
      <c r="N107" s="28" t="n">
        <f aca="false">I107+J107+K107+L107</f>
        <v>47</v>
      </c>
      <c r="O107" s="23" t="s">
        <v>437</v>
      </c>
      <c r="P107" s="22" t="s">
        <v>20</v>
      </c>
      <c r="Q107" s="23" t="s">
        <v>234</v>
      </c>
    </row>
    <row r="108" customFormat="false" ht="23.85" hidden="false" customHeight="false" outlineLevel="0" collapsed="false">
      <c r="A108" s="24" t="n">
        <v>107</v>
      </c>
      <c r="B108" s="25" t="s">
        <v>488</v>
      </c>
      <c r="C108" s="25"/>
      <c r="D108" s="25" t="s">
        <v>489</v>
      </c>
      <c r="E108" s="25" t="s">
        <v>490</v>
      </c>
      <c r="F108" s="25" t="s">
        <v>22</v>
      </c>
      <c r="G108" s="25" t="s">
        <v>129</v>
      </c>
      <c r="H108" s="25" t="s">
        <v>21</v>
      </c>
      <c r="I108" s="24" t="n">
        <v>12</v>
      </c>
      <c r="J108" s="24" t="n">
        <v>20</v>
      </c>
      <c r="K108" s="24" t="n">
        <v>10</v>
      </c>
      <c r="L108" s="24" t="n">
        <v>5</v>
      </c>
      <c r="N108" s="29" t="n">
        <f aca="false">I108+J108+K108+L108</f>
        <v>47</v>
      </c>
      <c r="O108" s="26" t="s">
        <v>437</v>
      </c>
      <c r="P108" s="25" t="s">
        <v>20</v>
      </c>
      <c r="Q108" s="26" t="s">
        <v>234</v>
      </c>
    </row>
    <row r="109" customFormat="false" ht="23.85" hidden="false" customHeight="false" outlineLevel="0" collapsed="false">
      <c r="A109" s="21" t="n">
        <v>108</v>
      </c>
      <c r="B109" s="22" t="s">
        <v>491</v>
      </c>
      <c r="C109" s="22" t="s">
        <v>492</v>
      </c>
      <c r="D109" s="22" t="s">
        <v>493</v>
      </c>
      <c r="E109" s="22" t="s">
        <v>494</v>
      </c>
      <c r="F109" s="22" t="s">
        <v>22</v>
      </c>
      <c r="G109" s="22" t="s">
        <v>129</v>
      </c>
      <c r="H109" s="22" t="s">
        <v>21</v>
      </c>
      <c r="I109" s="21" t="n">
        <v>12</v>
      </c>
      <c r="J109" s="21" t="n">
        <v>20</v>
      </c>
      <c r="K109" s="21" t="n">
        <v>10</v>
      </c>
      <c r="L109" s="21" t="n">
        <v>5</v>
      </c>
      <c r="N109" s="28" t="n">
        <f aca="false">I109+J109+K109+L109</f>
        <v>47</v>
      </c>
      <c r="O109" s="23" t="s">
        <v>437</v>
      </c>
      <c r="P109" s="22" t="s">
        <v>20</v>
      </c>
      <c r="Q109" s="23" t="s">
        <v>234</v>
      </c>
    </row>
    <row r="110" customFormat="false" ht="23.85" hidden="false" customHeight="false" outlineLevel="0" collapsed="false">
      <c r="A110" s="24" t="n">
        <v>109</v>
      </c>
      <c r="B110" s="25" t="s">
        <v>495</v>
      </c>
      <c r="C110" s="25" t="s">
        <v>496</v>
      </c>
      <c r="D110" s="25" t="s">
        <v>497</v>
      </c>
      <c r="E110" s="25" t="s">
        <v>498</v>
      </c>
      <c r="F110" s="25" t="s">
        <v>123</v>
      </c>
      <c r="G110" s="25" t="s">
        <v>55</v>
      </c>
      <c r="H110" s="25" t="s">
        <v>21</v>
      </c>
      <c r="I110" s="24" t="n">
        <v>5</v>
      </c>
      <c r="J110" s="24" t="n">
        <v>25</v>
      </c>
      <c r="K110" s="24" t="n">
        <v>10</v>
      </c>
      <c r="L110" s="24" t="n">
        <v>5</v>
      </c>
      <c r="N110" s="29" t="n">
        <f aca="false">I110+J110+K110+L110</f>
        <v>45</v>
      </c>
      <c r="O110" s="26" t="s">
        <v>499</v>
      </c>
      <c r="P110" s="25" t="s">
        <v>20</v>
      </c>
      <c r="Q110" s="26" t="s">
        <v>234</v>
      </c>
    </row>
    <row r="111" customFormat="false" ht="23.85" hidden="false" customHeight="false" outlineLevel="0" collapsed="false">
      <c r="A111" s="21" t="n">
        <v>110</v>
      </c>
      <c r="B111" s="22" t="s">
        <v>500</v>
      </c>
      <c r="C111" s="22" t="s">
        <v>501</v>
      </c>
      <c r="D111" s="22" t="s">
        <v>502</v>
      </c>
      <c r="E111" s="22" t="s">
        <v>503</v>
      </c>
      <c r="F111" s="22" t="s">
        <v>123</v>
      </c>
      <c r="G111" s="22" t="s">
        <v>55</v>
      </c>
      <c r="H111" s="22" t="s">
        <v>21</v>
      </c>
      <c r="I111" s="21" t="n">
        <v>5</v>
      </c>
      <c r="J111" s="21" t="n">
        <v>25</v>
      </c>
      <c r="K111" s="21" t="n">
        <v>10</v>
      </c>
      <c r="L111" s="21" t="n">
        <v>5</v>
      </c>
      <c r="N111" s="28" t="n">
        <f aca="false">I111+J111+K111+L111</f>
        <v>45</v>
      </c>
      <c r="O111" s="23" t="s">
        <v>499</v>
      </c>
      <c r="P111" s="22" t="s">
        <v>20</v>
      </c>
      <c r="Q111" s="23" t="s">
        <v>234</v>
      </c>
    </row>
    <row r="112" customFormat="false" ht="23.85" hidden="false" customHeight="false" outlineLevel="0" collapsed="false">
      <c r="A112" s="24" t="n">
        <v>111</v>
      </c>
      <c r="B112" s="25" t="s">
        <v>504</v>
      </c>
      <c r="C112" s="25" t="s">
        <v>505</v>
      </c>
      <c r="D112" s="25" t="s">
        <v>506</v>
      </c>
      <c r="E112" s="25" t="s">
        <v>507</v>
      </c>
      <c r="F112" s="25" t="s">
        <v>123</v>
      </c>
      <c r="G112" s="25" t="s">
        <v>55</v>
      </c>
      <c r="H112" s="25" t="s">
        <v>21</v>
      </c>
      <c r="I112" s="24" t="n">
        <v>5</v>
      </c>
      <c r="J112" s="24" t="n">
        <v>25</v>
      </c>
      <c r="K112" s="24" t="n">
        <v>10</v>
      </c>
      <c r="L112" s="24" t="n">
        <v>5</v>
      </c>
      <c r="N112" s="29" t="n">
        <f aca="false">I112+J112+K112+L112</f>
        <v>45</v>
      </c>
      <c r="O112" s="26" t="s">
        <v>499</v>
      </c>
      <c r="P112" s="25" t="s">
        <v>20</v>
      </c>
      <c r="Q112" s="26" t="s">
        <v>234</v>
      </c>
    </row>
    <row r="113" customFormat="false" ht="23.85" hidden="false" customHeight="false" outlineLevel="0" collapsed="false">
      <c r="A113" s="21" t="n">
        <v>112</v>
      </c>
      <c r="B113" s="22" t="s">
        <v>508</v>
      </c>
      <c r="C113" s="22" t="s">
        <v>509</v>
      </c>
      <c r="D113" s="22" t="s">
        <v>510</v>
      </c>
      <c r="E113" s="22" t="s">
        <v>511</v>
      </c>
      <c r="F113" s="22" t="s">
        <v>22</v>
      </c>
      <c r="G113" s="22" t="s">
        <v>129</v>
      </c>
      <c r="H113" s="22" t="s">
        <v>21</v>
      </c>
      <c r="I113" s="21" t="n">
        <v>12</v>
      </c>
      <c r="J113" s="21" t="n">
        <v>20</v>
      </c>
      <c r="K113" s="21" t="n">
        <v>10</v>
      </c>
      <c r="L113" s="21" t="n">
        <v>3</v>
      </c>
      <c r="N113" s="28" t="n">
        <f aca="false">I113+J113+K113+L113</f>
        <v>45</v>
      </c>
      <c r="O113" s="23" t="s">
        <v>437</v>
      </c>
      <c r="P113" s="22" t="s">
        <v>20</v>
      </c>
      <c r="Q113" s="23" t="s">
        <v>234</v>
      </c>
    </row>
    <row r="114" customFormat="false" ht="23.85" hidden="false" customHeight="false" outlineLevel="0" collapsed="false">
      <c r="A114" s="24" t="n">
        <v>113</v>
      </c>
      <c r="B114" s="25" t="s">
        <v>512</v>
      </c>
      <c r="C114" s="25" t="s">
        <v>513</v>
      </c>
      <c r="D114" s="25" t="s">
        <v>514</v>
      </c>
      <c r="E114" s="25" t="s">
        <v>515</v>
      </c>
      <c r="F114" s="25" t="s">
        <v>22</v>
      </c>
      <c r="G114" s="25" t="s">
        <v>129</v>
      </c>
      <c r="H114" s="25" t="s">
        <v>21</v>
      </c>
      <c r="I114" s="24" t="n">
        <v>12</v>
      </c>
      <c r="J114" s="24" t="n">
        <v>20</v>
      </c>
      <c r="K114" s="24" t="n">
        <v>10</v>
      </c>
      <c r="L114" s="24" t="n">
        <v>3</v>
      </c>
      <c r="N114" s="29" t="n">
        <f aca="false">I114+J114+K114+L114</f>
        <v>45</v>
      </c>
      <c r="O114" s="26" t="s">
        <v>437</v>
      </c>
      <c r="P114" s="25" t="s">
        <v>20</v>
      </c>
      <c r="Q114" s="26" t="s">
        <v>234</v>
      </c>
    </row>
    <row r="115" customFormat="false" ht="23.85" hidden="false" customHeight="false" outlineLevel="0" collapsed="false">
      <c r="A115" s="21" t="n">
        <v>114</v>
      </c>
      <c r="B115" s="22" t="s">
        <v>516</v>
      </c>
      <c r="C115" s="22" t="s">
        <v>517</v>
      </c>
      <c r="D115" s="22" t="s">
        <v>518</v>
      </c>
      <c r="E115" s="22" t="s">
        <v>519</v>
      </c>
      <c r="F115" s="22" t="s">
        <v>123</v>
      </c>
      <c r="G115" s="22" t="s">
        <v>129</v>
      </c>
      <c r="H115" s="22" t="s">
        <v>21</v>
      </c>
      <c r="I115" s="21" t="n">
        <v>5</v>
      </c>
      <c r="J115" s="21" t="n">
        <v>20</v>
      </c>
      <c r="K115" s="21" t="n">
        <v>10</v>
      </c>
      <c r="L115" s="21" t="n">
        <v>5</v>
      </c>
      <c r="N115" s="28" t="n">
        <f aca="false">I115+J115+K115+L115</f>
        <v>40</v>
      </c>
      <c r="O115" s="23" t="s">
        <v>520</v>
      </c>
      <c r="P115" s="22" t="s">
        <v>20</v>
      </c>
      <c r="Q115" s="23" t="s">
        <v>234</v>
      </c>
    </row>
    <row r="116" customFormat="false" ht="23.85" hidden="false" customHeight="false" outlineLevel="0" collapsed="false">
      <c r="A116" s="24" t="n">
        <v>115</v>
      </c>
      <c r="B116" s="25" t="s">
        <v>521</v>
      </c>
      <c r="C116" s="25" t="s">
        <v>522</v>
      </c>
      <c r="D116" s="25" t="s">
        <v>523</v>
      </c>
      <c r="E116" s="25" t="s">
        <v>524</v>
      </c>
      <c r="F116" s="25" t="s">
        <v>123</v>
      </c>
      <c r="G116" s="25" t="s">
        <v>129</v>
      </c>
      <c r="H116" s="25" t="s">
        <v>21</v>
      </c>
      <c r="I116" s="24" t="n">
        <v>5</v>
      </c>
      <c r="J116" s="24" t="n">
        <v>20</v>
      </c>
      <c r="K116" s="24" t="n">
        <v>10</v>
      </c>
      <c r="L116" s="24" t="n">
        <v>5</v>
      </c>
      <c r="N116" s="29" t="n">
        <f aca="false">I116+J116+K116+L116</f>
        <v>40</v>
      </c>
      <c r="O116" s="26" t="s">
        <v>520</v>
      </c>
      <c r="P116" s="25" t="s">
        <v>20</v>
      </c>
      <c r="Q116" s="26" t="s">
        <v>234</v>
      </c>
    </row>
    <row r="117" customFormat="false" ht="23.85" hidden="false" customHeight="false" outlineLevel="0" collapsed="false">
      <c r="A117" s="21" t="n">
        <v>116</v>
      </c>
      <c r="B117" s="22" t="s">
        <v>525</v>
      </c>
      <c r="C117" s="22" t="s">
        <v>526</v>
      </c>
      <c r="D117" s="22" t="s">
        <v>527</v>
      </c>
      <c r="E117" s="22" t="s">
        <v>528</v>
      </c>
      <c r="F117" s="22" t="s">
        <v>123</v>
      </c>
      <c r="G117" s="22" t="s">
        <v>129</v>
      </c>
      <c r="H117" s="22" t="s">
        <v>21</v>
      </c>
      <c r="I117" s="21" t="n">
        <v>5</v>
      </c>
      <c r="J117" s="21" t="n">
        <v>20</v>
      </c>
      <c r="K117" s="21" t="n">
        <v>10</v>
      </c>
      <c r="L117" s="21" t="n">
        <v>5</v>
      </c>
      <c r="N117" s="28" t="n">
        <f aca="false">I117+J117+K117+L117</f>
        <v>40</v>
      </c>
      <c r="O117" s="23" t="s">
        <v>520</v>
      </c>
      <c r="P117" s="22" t="s">
        <v>20</v>
      </c>
      <c r="Q117" s="23" t="s">
        <v>234</v>
      </c>
    </row>
    <row r="118" customFormat="false" ht="23.85" hidden="false" customHeight="false" outlineLevel="0" collapsed="false">
      <c r="A118" s="24" t="n">
        <v>117</v>
      </c>
      <c r="B118" s="25" t="s">
        <v>529</v>
      </c>
      <c r="C118" s="25"/>
      <c r="D118" s="25" t="s">
        <v>530</v>
      </c>
      <c r="E118" s="25" t="s">
        <v>531</v>
      </c>
      <c r="F118" s="25" t="s">
        <v>123</v>
      </c>
      <c r="G118" s="25" t="s">
        <v>129</v>
      </c>
      <c r="H118" s="25" t="s">
        <v>21</v>
      </c>
      <c r="I118" s="24" t="n">
        <v>5</v>
      </c>
      <c r="J118" s="24" t="n">
        <v>20</v>
      </c>
      <c r="K118" s="24" t="n">
        <v>10</v>
      </c>
      <c r="L118" s="24" t="n">
        <v>5</v>
      </c>
      <c r="N118" s="29" t="n">
        <f aca="false">I118+J118+K118+L118</f>
        <v>40</v>
      </c>
      <c r="O118" s="26" t="s">
        <v>520</v>
      </c>
      <c r="P118" s="25" t="s">
        <v>20</v>
      </c>
      <c r="Q118" s="26" t="s">
        <v>234</v>
      </c>
    </row>
    <row r="119" customFormat="false" ht="23.85" hidden="false" customHeight="false" outlineLevel="0" collapsed="false">
      <c r="A119" s="21" t="n">
        <v>118</v>
      </c>
      <c r="B119" s="22" t="s">
        <v>532</v>
      </c>
      <c r="C119" s="22" t="s">
        <v>533</v>
      </c>
      <c r="D119" s="22" t="s">
        <v>534</v>
      </c>
      <c r="E119" s="22" t="s">
        <v>535</v>
      </c>
      <c r="F119" s="22" t="s">
        <v>123</v>
      </c>
      <c r="G119" s="22" t="s">
        <v>129</v>
      </c>
      <c r="H119" s="22" t="s">
        <v>21</v>
      </c>
      <c r="I119" s="21" t="n">
        <v>5</v>
      </c>
      <c r="J119" s="21" t="n">
        <v>20</v>
      </c>
      <c r="K119" s="21" t="n">
        <v>10</v>
      </c>
      <c r="L119" s="21" t="n">
        <v>5</v>
      </c>
      <c r="N119" s="28" t="n">
        <f aca="false">I119+J119+K119+L119</f>
        <v>40</v>
      </c>
      <c r="O119" s="23" t="s">
        <v>520</v>
      </c>
      <c r="P119" s="22" t="s">
        <v>20</v>
      </c>
      <c r="Q119" s="23" t="s">
        <v>234</v>
      </c>
    </row>
    <row r="120" customFormat="false" ht="23.85" hidden="false" customHeight="false" outlineLevel="0" collapsed="false">
      <c r="A120" s="24" t="n">
        <v>119</v>
      </c>
      <c r="B120" s="25" t="s">
        <v>536</v>
      </c>
      <c r="C120" s="25" t="s">
        <v>537</v>
      </c>
      <c r="D120" s="25" t="s">
        <v>538</v>
      </c>
      <c r="E120" s="25" t="s">
        <v>539</v>
      </c>
      <c r="F120" s="25" t="s">
        <v>123</v>
      </c>
      <c r="G120" s="25" t="s">
        <v>129</v>
      </c>
      <c r="H120" s="25" t="s">
        <v>21</v>
      </c>
      <c r="I120" s="24" t="n">
        <v>5</v>
      </c>
      <c r="J120" s="24" t="n">
        <v>20</v>
      </c>
      <c r="K120" s="24" t="n">
        <v>10</v>
      </c>
      <c r="L120" s="24" t="n">
        <v>5</v>
      </c>
      <c r="N120" s="29" t="n">
        <f aca="false">I120+J120+K120+L120</f>
        <v>40</v>
      </c>
      <c r="O120" s="26" t="s">
        <v>520</v>
      </c>
      <c r="P120" s="25" t="s">
        <v>20</v>
      </c>
      <c r="Q120" s="26" t="s">
        <v>234</v>
      </c>
    </row>
    <row r="121" customFormat="false" ht="23.85" hidden="false" customHeight="false" outlineLevel="0" collapsed="false">
      <c r="A121" s="21" t="n">
        <v>120</v>
      </c>
      <c r="B121" s="22" t="s">
        <v>540</v>
      </c>
      <c r="C121" s="22" t="s">
        <v>541</v>
      </c>
      <c r="D121" s="22" t="s">
        <v>542</v>
      </c>
      <c r="E121" s="22" t="s">
        <v>543</v>
      </c>
      <c r="F121" s="22" t="s">
        <v>123</v>
      </c>
      <c r="G121" s="22" t="s">
        <v>129</v>
      </c>
      <c r="H121" s="22" t="s">
        <v>21</v>
      </c>
      <c r="I121" s="21" t="n">
        <v>5</v>
      </c>
      <c r="J121" s="21" t="n">
        <v>20</v>
      </c>
      <c r="K121" s="21" t="n">
        <v>10</v>
      </c>
      <c r="L121" s="21" t="n">
        <v>5</v>
      </c>
      <c r="N121" s="28" t="n">
        <f aca="false">I121+J121+K121+L121</f>
        <v>40</v>
      </c>
      <c r="O121" s="23" t="s">
        <v>520</v>
      </c>
      <c r="P121" s="22" t="s">
        <v>20</v>
      </c>
      <c r="Q121" s="23" t="s">
        <v>234</v>
      </c>
    </row>
    <row r="122" customFormat="false" ht="23.85" hidden="false" customHeight="false" outlineLevel="0" collapsed="false">
      <c r="A122" s="24" t="n">
        <v>121</v>
      </c>
      <c r="B122" s="25" t="s">
        <v>544</v>
      </c>
      <c r="C122" s="25" t="s">
        <v>545</v>
      </c>
      <c r="D122" s="25" t="s">
        <v>546</v>
      </c>
      <c r="E122" s="25" t="s">
        <v>547</v>
      </c>
      <c r="F122" s="25" t="s">
        <v>123</v>
      </c>
      <c r="G122" s="25" t="s">
        <v>129</v>
      </c>
      <c r="H122" s="25" t="s">
        <v>21</v>
      </c>
      <c r="I122" s="24" t="n">
        <v>5</v>
      </c>
      <c r="J122" s="24" t="n">
        <v>20</v>
      </c>
      <c r="K122" s="24" t="n">
        <v>10</v>
      </c>
      <c r="L122" s="24" t="n">
        <v>5</v>
      </c>
      <c r="N122" s="29" t="n">
        <f aca="false">I122+J122+K122+L122</f>
        <v>40</v>
      </c>
      <c r="O122" s="26" t="s">
        <v>520</v>
      </c>
      <c r="P122" s="25" t="s">
        <v>20</v>
      </c>
      <c r="Q122" s="26" t="s">
        <v>234</v>
      </c>
    </row>
  </sheetData>
  <autoFilter ref="A1:Q122"/>
  <mergeCells count="2">
    <mergeCell ref="A1:P1"/>
    <mergeCell ref="A2:P2"/>
  </mergeCells>
  <conditionalFormatting sqref="P2:P122">
    <cfRule type="expression" priority="2" aboveAverage="0" equalAverage="0" bottom="0" percent="0" rank="0" text="" dxfId="11">
      <formula>COUNTIF(P2,"*HOT*")&gt;0</formula>
    </cfRule>
    <cfRule type="expression" priority="3" aboveAverage="0" equalAverage="0" bottom="0" percent="0" rank="0" text="" dxfId="12">
      <formula>COUNTIF(P2,"*Warm*")&gt;0</formula>
    </cfRule>
    <cfRule type="expression" priority="4" aboveAverage="0" equalAverage="0" bottom="0" percent="0" rank="0" text="" dxfId="13">
      <formula>COUNTIF(P2,"*Qualified*")&gt;0</formula>
    </cfRule>
    <cfRule type="expression" priority="5" aboveAverage="0" equalAverage="0" bottom="0" percent="0" rank="0" text="" dxfId="14">
      <formula>COUNTIF(P2,"*Low*")&gt;0</formula>
    </cfRule>
  </conditionalFormatting>
  <conditionalFormatting sqref="N2:N122">
    <cfRule type="cellIs" priority="6" operator="greaterThanOrEqual" aboveAverage="0" equalAverage="0" bottom="0" percent="0" rank="0" text="" dxfId="15">
      <formula>80</formula>
    </cfRule>
    <cfRule type="cellIs" priority="7" operator="between" aboveAverage="0" equalAverage="0" bottom="0" percent="0" rank="0" text="" dxfId="16">
      <formula>60</formula>
      <formula>79</formula>
    </cfRule>
    <cfRule type="cellIs" priority="8" operator="between" aboveAverage="0" equalAverage="0" bottom="0" percent="0" rank="0" text="" dxfId="17">
      <formula>40</formula>
      <formula>59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548</v>
      </c>
      <c r="B1" s="1"/>
      <c r="C1" s="1"/>
      <c r="D1" s="1"/>
    </row>
    <row r="2" customFormat="false" ht="15" hidden="false" customHeight="false" outlineLevel="0" collapsed="false">
      <c r="A2" s="2" t="s">
        <v>549</v>
      </c>
      <c r="B2" s="2"/>
      <c r="C2" s="2"/>
      <c r="D2" s="2"/>
    </row>
    <row r="4" customFormat="false" ht="16.15" hidden="false" customHeight="false" outlineLevel="0" collapsed="false">
      <c r="A4" s="5" t="s">
        <v>550</v>
      </c>
      <c r="B4" s="5"/>
      <c r="C4" s="5"/>
      <c r="D4" s="5"/>
    </row>
    <row r="5" customFormat="false" ht="15" hidden="false" customHeight="false" outlineLevel="0" collapsed="false">
      <c r="A5" s="17" t="s">
        <v>551</v>
      </c>
      <c r="B5" s="17" t="s">
        <v>552</v>
      </c>
    </row>
    <row r="6" customFormat="false" ht="15" hidden="false" customHeight="false" outlineLevel="0" collapsed="false">
      <c r="A6" s="10" t="s">
        <v>15</v>
      </c>
      <c r="B6" s="8" t="n">
        <v>40</v>
      </c>
    </row>
    <row r="7" customFormat="false" ht="15" hidden="false" customHeight="false" outlineLevel="0" collapsed="false">
      <c r="A7" s="10" t="s">
        <v>18</v>
      </c>
      <c r="B7" s="8" t="n">
        <v>25</v>
      </c>
    </row>
    <row r="8" customFormat="false" ht="15" hidden="false" customHeight="false" outlineLevel="0" collapsed="false">
      <c r="A8" s="10" t="s">
        <v>21</v>
      </c>
      <c r="B8" s="8" t="n">
        <v>10</v>
      </c>
    </row>
    <row r="10" customFormat="false" ht="16.15" hidden="false" customHeight="false" outlineLevel="0" collapsed="false">
      <c r="A10" s="5" t="s">
        <v>553</v>
      </c>
      <c r="B10" s="5"/>
      <c r="C10" s="5"/>
      <c r="D10" s="5"/>
    </row>
    <row r="11" customFormat="false" ht="15" hidden="false" customHeight="false" outlineLevel="0" collapsed="false">
      <c r="A11" s="17" t="s">
        <v>551</v>
      </c>
      <c r="B11" s="17" t="s">
        <v>552</v>
      </c>
    </row>
    <row r="12" customFormat="false" ht="15" hidden="false" customHeight="false" outlineLevel="0" collapsed="false">
      <c r="A12" s="10" t="s">
        <v>39</v>
      </c>
      <c r="B12" s="8" t="n">
        <v>30</v>
      </c>
    </row>
    <row r="13" customFormat="false" ht="15" hidden="false" customHeight="false" outlineLevel="0" collapsed="false">
      <c r="A13" s="10" t="s">
        <v>55</v>
      </c>
      <c r="B13" s="8" t="n">
        <v>25</v>
      </c>
    </row>
    <row r="14" customFormat="false" ht="15" hidden="false" customHeight="false" outlineLevel="0" collapsed="false">
      <c r="A14" s="10" t="s">
        <v>129</v>
      </c>
      <c r="B14" s="8" t="n">
        <v>20</v>
      </c>
    </row>
    <row r="16" customFormat="false" ht="16.15" hidden="false" customHeight="false" outlineLevel="0" collapsed="false">
      <c r="A16" s="5" t="s">
        <v>554</v>
      </c>
      <c r="B16" s="5"/>
      <c r="C16" s="5"/>
      <c r="D16" s="5"/>
    </row>
    <row r="17" customFormat="false" ht="15" hidden="false" customHeight="false" outlineLevel="0" collapsed="false">
      <c r="A17" s="17" t="s">
        <v>551</v>
      </c>
      <c r="B17" s="17" t="s">
        <v>552</v>
      </c>
    </row>
    <row r="18" customFormat="false" ht="15" hidden="false" customHeight="false" outlineLevel="0" collapsed="false">
      <c r="A18" s="10" t="s">
        <v>16</v>
      </c>
      <c r="B18" s="8" t="n">
        <v>20</v>
      </c>
    </row>
    <row r="19" customFormat="false" ht="15" hidden="false" customHeight="false" outlineLevel="0" collapsed="false">
      <c r="A19" s="10" t="s">
        <v>19</v>
      </c>
      <c r="B19" s="8" t="n">
        <v>15</v>
      </c>
    </row>
    <row r="20" customFormat="false" ht="15" hidden="false" customHeight="false" outlineLevel="0" collapsed="false">
      <c r="A20" s="10" t="s">
        <v>22</v>
      </c>
      <c r="B20" s="8" t="n">
        <v>12</v>
      </c>
    </row>
    <row r="21" customFormat="false" ht="15" hidden="false" customHeight="false" outlineLevel="0" collapsed="false">
      <c r="A21" s="10" t="s">
        <v>24</v>
      </c>
      <c r="B21" s="8" t="n">
        <v>5</v>
      </c>
    </row>
    <row r="23" customFormat="false" ht="16.15" hidden="false" customHeight="false" outlineLevel="0" collapsed="false">
      <c r="A23" s="5" t="s">
        <v>555</v>
      </c>
      <c r="B23" s="5"/>
      <c r="C23" s="5"/>
      <c r="D23" s="5"/>
    </row>
    <row r="24" customFormat="false" ht="15" hidden="false" customHeight="false" outlineLevel="0" collapsed="false">
      <c r="A24" s="17" t="s">
        <v>551</v>
      </c>
      <c r="B24" s="17" t="s">
        <v>552</v>
      </c>
    </row>
    <row r="25" customFormat="false" ht="15" hidden="false" customHeight="false" outlineLevel="0" collapsed="false">
      <c r="A25" s="10" t="s">
        <v>556</v>
      </c>
      <c r="B25" s="8" t="n">
        <v>10</v>
      </c>
    </row>
    <row r="26" customFormat="false" ht="15" hidden="false" customHeight="false" outlineLevel="0" collapsed="false">
      <c r="A26" s="10" t="s">
        <v>557</v>
      </c>
      <c r="B26" s="8" t="n">
        <v>7</v>
      </c>
    </row>
    <row r="27" customFormat="false" ht="15" hidden="false" customHeight="false" outlineLevel="0" collapsed="false">
      <c r="A27" s="10" t="s">
        <v>558</v>
      </c>
      <c r="B27" s="8" t="n">
        <v>5</v>
      </c>
    </row>
    <row r="28" customFormat="false" ht="15" hidden="false" customHeight="false" outlineLevel="0" collapsed="false">
      <c r="A28" s="10" t="s">
        <v>559</v>
      </c>
      <c r="B28" s="8" t="n">
        <v>3</v>
      </c>
    </row>
    <row r="30" customFormat="false" ht="16.15" hidden="false" customHeight="false" outlineLevel="0" collapsed="false">
      <c r="A30" s="5" t="s">
        <v>560</v>
      </c>
      <c r="B30" s="5"/>
      <c r="C30" s="5"/>
      <c r="D30" s="5"/>
    </row>
    <row r="31" customFormat="false" ht="15" hidden="false" customHeight="false" outlineLevel="0" collapsed="false">
      <c r="A31" s="17" t="s">
        <v>551</v>
      </c>
      <c r="B31" s="17" t="s">
        <v>552</v>
      </c>
    </row>
    <row r="32" customFormat="false" ht="15" hidden="false" customHeight="false" outlineLevel="0" collapsed="false">
      <c r="A32" s="10" t="s">
        <v>14</v>
      </c>
      <c r="B32" s="8" t="s">
        <v>561</v>
      </c>
    </row>
    <row r="33" customFormat="false" ht="15" hidden="false" customHeight="false" outlineLevel="0" collapsed="false">
      <c r="A33" s="10" t="s">
        <v>17</v>
      </c>
      <c r="B33" s="8" t="s">
        <v>562</v>
      </c>
    </row>
    <row r="34" customFormat="false" ht="15" hidden="false" customHeight="false" outlineLevel="0" collapsed="false">
      <c r="A34" s="10" t="s">
        <v>20</v>
      </c>
      <c r="B34" s="8" t="s">
        <v>563</v>
      </c>
    </row>
    <row r="35" customFormat="false" ht="15" hidden="false" customHeight="false" outlineLevel="0" collapsed="false">
      <c r="A35" s="10" t="s">
        <v>23</v>
      </c>
      <c r="B35" s="8" t="s">
        <v>564</v>
      </c>
    </row>
  </sheetData>
  <mergeCells count="7">
    <mergeCell ref="A1:D1"/>
    <mergeCell ref="A2:D2"/>
    <mergeCell ref="A4:D4"/>
    <mergeCell ref="A10:D10"/>
    <mergeCell ref="A16:D16"/>
    <mergeCell ref="A23:D23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22"/>
  </cols>
  <sheetData>
    <row r="1" customFormat="false" ht="15" hidden="false" customHeight="false" outlineLevel="0" collapsed="false">
      <c r="A1" s="6" t="s">
        <v>565</v>
      </c>
      <c r="B1" s="6" t="s">
        <v>566</v>
      </c>
      <c r="C1" s="6" t="s">
        <v>567</v>
      </c>
      <c r="D1" s="6" t="s">
        <v>568</v>
      </c>
      <c r="E1" s="6" t="s">
        <v>569</v>
      </c>
      <c r="F1" s="6" t="s">
        <v>570</v>
      </c>
      <c r="G1" s="6" t="s">
        <v>571</v>
      </c>
      <c r="H1" s="6" t="s">
        <v>572</v>
      </c>
      <c r="I1" s="6" t="s">
        <v>573</v>
      </c>
      <c r="J1" s="6" t="s">
        <v>574</v>
      </c>
      <c r="K1" s="6" t="s">
        <v>575</v>
      </c>
      <c r="L1" s="6" t="s">
        <v>576</v>
      </c>
      <c r="M1" s="6" t="s">
        <v>577</v>
      </c>
      <c r="N1" s="6" t="s">
        <v>578</v>
      </c>
      <c r="O1" s="6" t="s">
        <v>579</v>
      </c>
      <c r="P1" s="6" t="s">
        <v>580</v>
      </c>
      <c r="Q1" s="6" t="s">
        <v>581</v>
      </c>
      <c r="R1" s="6" t="s">
        <v>582</v>
      </c>
      <c r="S1" s="6" t="s">
        <v>583</v>
      </c>
    </row>
    <row r="2" customFormat="false" ht="15" hidden="false" customHeight="false" outlineLevel="0" collapsed="false">
      <c r="A2" s="30" t="s">
        <v>584</v>
      </c>
      <c r="B2" s="30" t="s">
        <v>585</v>
      </c>
      <c r="C2" s="30"/>
      <c r="D2" s="30"/>
      <c r="E2" s="30"/>
      <c r="F2" s="30"/>
      <c r="G2" s="30"/>
      <c r="H2" s="30"/>
      <c r="I2" s="30" t="s">
        <v>586</v>
      </c>
      <c r="J2" s="30" t="s">
        <v>587</v>
      </c>
      <c r="K2" s="30" t="s">
        <v>588</v>
      </c>
      <c r="L2" s="30"/>
      <c r="M2" s="30" t="s">
        <v>589</v>
      </c>
      <c r="N2" s="30" t="s">
        <v>590</v>
      </c>
      <c r="O2" s="30" t="s">
        <v>591</v>
      </c>
      <c r="P2" s="30" t="s">
        <v>592</v>
      </c>
      <c r="Q2" s="30" t="s">
        <v>593</v>
      </c>
      <c r="R2" s="30" t="s">
        <v>594</v>
      </c>
      <c r="S2" s="30" t="s">
        <v>595</v>
      </c>
    </row>
    <row r="3" customFormat="false" ht="15" hidden="false" customHeight="false" outlineLevel="0" collapsed="false">
      <c r="A3" s="30" t="s">
        <v>596</v>
      </c>
      <c r="B3" s="30" t="s">
        <v>597</v>
      </c>
      <c r="C3" s="30" t="s">
        <v>598</v>
      </c>
      <c r="D3" s="30" t="s">
        <v>599</v>
      </c>
      <c r="E3" s="30" t="s">
        <v>600</v>
      </c>
      <c r="F3" s="30" t="s">
        <v>601</v>
      </c>
      <c r="G3" s="30" t="s">
        <v>602</v>
      </c>
      <c r="H3" s="30" t="s">
        <v>603</v>
      </c>
      <c r="I3" s="30" t="s">
        <v>586</v>
      </c>
      <c r="J3" s="30" t="s">
        <v>587</v>
      </c>
      <c r="K3" s="30" t="s">
        <v>604</v>
      </c>
      <c r="L3" s="30" t="s">
        <v>605</v>
      </c>
      <c r="M3" s="30" t="s">
        <v>606</v>
      </c>
      <c r="N3" s="30" t="s">
        <v>607</v>
      </c>
      <c r="O3" s="30" t="s">
        <v>608</v>
      </c>
      <c r="P3" s="30" t="s">
        <v>336</v>
      </c>
      <c r="Q3" s="30" t="s">
        <v>334</v>
      </c>
      <c r="R3" s="30" t="s">
        <v>609</v>
      </c>
      <c r="S3" s="30" t="s">
        <v>610</v>
      </c>
    </row>
    <row r="4" customFormat="false" ht="15" hidden="false" customHeight="false" outlineLevel="0" collapsed="false">
      <c r="A4" s="30" t="s">
        <v>611</v>
      </c>
      <c r="B4" s="30" t="s">
        <v>612</v>
      </c>
      <c r="C4" s="30" t="s">
        <v>598</v>
      </c>
      <c r="D4" s="30" t="s">
        <v>599</v>
      </c>
      <c r="E4" s="30" t="s">
        <v>600</v>
      </c>
      <c r="F4" s="30" t="s">
        <v>601</v>
      </c>
      <c r="G4" s="30" t="s">
        <v>602</v>
      </c>
      <c r="H4" s="30" t="s">
        <v>603</v>
      </c>
      <c r="I4" s="30" t="s">
        <v>586</v>
      </c>
      <c r="J4" s="30" t="s">
        <v>587</v>
      </c>
      <c r="K4" s="30" t="s">
        <v>604</v>
      </c>
      <c r="L4" s="30" t="s">
        <v>605</v>
      </c>
      <c r="M4" s="30" t="s">
        <v>606</v>
      </c>
      <c r="N4" s="30" t="s">
        <v>607</v>
      </c>
      <c r="O4" s="30" t="s">
        <v>608</v>
      </c>
      <c r="P4" s="30" t="s">
        <v>332</v>
      </c>
      <c r="Q4" s="30" t="s">
        <v>330</v>
      </c>
      <c r="R4" s="30" t="s">
        <v>613</v>
      </c>
      <c r="S4" s="30" t="s">
        <v>610</v>
      </c>
    </row>
    <row r="5" customFormat="false" ht="15" hidden="false" customHeight="false" outlineLevel="0" collapsed="false">
      <c r="A5" s="30" t="s">
        <v>614</v>
      </c>
      <c r="B5" s="30" t="s">
        <v>615</v>
      </c>
      <c r="C5" s="30" t="s">
        <v>616</v>
      </c>
      <c r="D5" s="30" t="s">
        <v>599</v>
      </c>
      <c r="E5" s="30" t="s">
        <v>617</v>
      </c>
      <c r="F5" s="30" t="s">
        <v>618</v>
      </c>
      <c r="G5" s="30" t="s">
        <v>602</v>
      </c>
      <c r="H5" s="30" t="s">
        <v>603</v>
      </c>
      <c r="I5" s="30" t="s">
        <v>586</v>
      </c>
      <c r="J5" s="30" t="s">
        <v>587</v>
      </c>
      <c r="K5" s="30" t="s">
        <v>604</v>
      </c>
      <c r="L5" s="30" t="s">
        <v>619</v>
      </c>
      <c r="M5" s="30" t="s">
        <v>620</v>
      </c>
      <c r="N5" s="30" t="s">
        <v>607</v>
      </c>
      <c r="O5" s="30" t="s">
        <v>608</v>
      </c>
      <c r="P5" s="30" t="s">
        <v>514</v>
      </c>
      <c r="Q5" s="30" t="s">
        <v>512</v>
      </c>
      <c r="R5" s="30" t="s">
        <v>621</v>
      </c>
      <c r="S5" s="30" t="s">
        <v>610</v>
      </c>
    </row>
    <row r="6" customFormat="false" ht="15" hidden="false" customHeight="false" outlineLevel="0" collapsed="false">
      <c r="A6" s="30" t="s">
        <v>622</v>
      </c>
      <c r="B6" s="30" t="s">
        <v>623</v>
      </c>
      <c r="C6" s="30" t="s">
        <v>598</v>
      </c>
      <c r="D6" s="30" t="s">
        <v>599</v>
      </c>
      <c r="E6" s="30" t="s">
        <v>600</v>
      </c>
      <c r="F6" s="30" t="s">
        <v>601</v>
      </c>
      <c r="G6" s="30" t="s">
        <v>602</v>
      </c>
      <c r="H6" s="30" t="s">
        <v>603</v>
      </c>
      <c r="I6" s="30" t="s">
        <v>586</v>
      </c>
      <c r="J6" s="30" t="s">
        <v>587</v>
      </c>
      <c r="K6" s="30" t="s">
        <v>604</v>
      </c>
      <c r="L6" s="30" t="s">
        <v>605</v>
      </c>
      <c r="M6" s="30" t="s">
        <v>620</v>
      </c>
      <c r="N6" s="30" t="s">
        <v>607</v>
      </c>
      <c r="O6" s="30" t="s">
        <v>608</v>
      </c>
      <c r="P6" s="30" t="s">
        <v>510</v>
      </c>
      <c r="Q6" s="30" t="s">
        <v>508</v>
      </c>
      <c r="R6" s="30" t="s">
        <v>624</v>
      </c>
      <c r="S6" s="30" t="s">
        <v>610</v>
      </c>
    </row>
    <row r="7" customFormat="false" ht="15" hidden="false" customHeight="false" outlineLevel="0" collapsed="false">
      <c r="A7" s="30" t="s">
        <v>625</v>
      </c>
      <c r="B7" s="30" t="s">
        <v>626</v>
      </c>
      <c r="C7" s="30" t="s">
        <v>616</v>
      </c>
      <c r="D7" s="30" t="s">
        <v>599</v>
      </c>
      <c r="E7" s="30" t="s">
        <v>617</v>
      </c>
      <c r="F7" s="30" t="s">
        <v>618</v>
      </c>
      <c r="G7" s="30" t="s">
        <v>602</v>
      </c>
      <c r="H7" s="30" t="s">
        <v>603</v>
      </c>
      <c r="I7" s="30" t="s">
        <v>586</v>
      </c>
      <c r="J7" s="30" t="s">
        <v>587</v>
      </c>
      <c r="K7" s="30" t="s">
        <v>604</v>
      </c>
      <c r="L7" s="30" t="s">
        <v>605</v>
      </c>
      <c r="M7" s="30" t="s">
        <v>606</v>
      </c>
      <c r="N7" s="30" t="s">
        <v>627</v>
      </c>
      <c r="O7" s="30" t="s">
        <v>608</v>
      </c>
      <c r="P7" s="30" t="s">
        <v>181</v>
      </c>
      <c r="Q7" s="30" t="s">
        <v>179</v>
      </c>
      <c r="R7" s="30" t="s">
        <v>628</v>
      </c>
      <c r="S7" s="30" t="s">
        <v>610</v>
      </c>
    </row>
    <row r="8" customFormat="false" ht="15" hidden="false" customHeight="false" outlineLevel="0" collapsed="false">
      <c r="A8" s="30" t="s">
        <v>629</v>
      </c>
      <c r="B8" s="30" t="s">
        <v>630</v>
      </c>
      <c r="C8" s="30" t="s">
        <v>631</v>
      </c>
      <c r="D8" s="30" t="s">
        <v>599</v>
      </c>
      <c r="E8" s="30" t="s">
        <v>632</v>
      </c>
      <c r="F8" s="30" t="s">
        <v>633</v>
      </c>
      <c r="G8" s="30" t="s">
        <v>602</v>
      </c>
      <c r="H8" s="30" t="s">
        <v>603</v>
      </c>
      <c r="I8" s="30" t="s">
        <v>586</v>
      </c>
      <c r="J8" s="30" t="s">
        <v>587</v>
      </c>
      <c r="K8" s="30" t="s">
        <v>604</v>
      </c>
      <c r="L8" s="30" t="s">
        <v>605</v>
      </c>
      <c r="M8" s="30" t="s">
        <v>606</v>
      </c>
      <c r="N8" s="30" t="s">
        <v>627</v>
      </c>
      <c r="O8" s="30" t="s">
        <v>608</v>
      </c>
      <c r="P8" s="30" t="s">
        <v>177</v>
      </c>
      <c r="Q8" s="30" t="s">
        <v>175</v>
      </c>
      <c r="R8" s="30" t="s">
        <v>634</v>
      </c>
      <c r="S8" s="30" t="s">
        <v>610</v>
      </c>
    </row>
    <row r="9" customFormat="false" ht="15" hidden="false" customHeight="false" outlineLevel="0" collapsed="false">
      <c r="A9" s="30" t="s">
        <v>635</v>
      </c>
      <c r="B9" s="30" t="s">
        <v>636</v>
      </c>
      <c r="C9" s="30" t="s">
        <v>598</v>
      </c>
      <c r="D9" s="30" t="s">
        <v>599</v>
      </c>
      <c r="E9" s="30" t="s">
        <v>600</v>
      </c>
      <c r="F9" s="30" t="s">
        <v>601</v>
      </c>
      <c r="G9" s="30" t="s">
        <v>602</v>
      </c>
      <c r="H9" s="30" t="s">
        <v>603</v>
      </c>
      <c r="I9" s="30" t="s">
        <v>586</v>
      </c>
      <c r="J9" s="30" t="s">
        <v>587</v>
      </c>
      <c r="K9" s="30" t="s">
        <v>604</v>
      </c>
      <c r="L9" s="30" t="s">
        <v>619</v>
      </c>
      <c r="M9" s="30" t="s">
        <v>620</v>
      </c>
      <c r="N9" s="30" t="s">
        <v>627</v>
      </c>
      <c r="O9" s="30" t="s">
        <v>608</v>
      </c>
      <c r="P9" s="30" t="s">
        <v>290</v>
      </c>
      <c r="Q9" s="30" t="s">
        <v>288</v>
      </c>
      <c r="R9" s="30" t="s">
        <v>637</v>
      </c>
      <c r="S9" s="30" t="s">
        <v>610</v>
      </c>
    </row>
    <row r="10" customFormat="false" ht="15" hidden="false" customHeight="false" outlineLevel="0" collapsed="false">
      <c r="A10" s="30" t="s">
        <v>638</v>
      </c>
      <c r="B10" s="30" t="s">
        <v>639</v>
      </c>
      <c r="C10" s="30" t="s">
        <v>631</v>
      </c>
      <c r="D10" s="30" t="s">
        <v>599</v>
      </c>
      <c r="E10" s="30" t="s">
        <v>632</v>
      </c>
      <c r="F10" s="30" t="s">
        <v>633</v>
      </c>
      <c r="G10" s="30" t="s">
        <v>602</v>
      </c>
      <c r="H10" s="30" t="s">
        <v>603</v>
      </c>
      <c r="I10" s="30" t="s">
        <v>586</v>
      </c>
      <c r="J10" s="30" t="s">
        <v>587</v>
      </c>
      <c r="K10" s="30" t="s">
        <v>604</v>
      </c>
      <c r="L10" s="30" t="s">
        <v>619</v>
      </c>
      <c r="M10" s="30" t="s">
        <v>640</v>
      </c>
      <c r="N10" s="30" t="s">
        <v>627</v>
      </c>
      <c r="O10" s="30" t="s">
        <v>641</v>
      </c>
      <c r="P10" s="30" t="s">
        <v>173</v>
      </c>
      <c r="Q10" s="30" t="s">
        <v>171</v>
      </c>
      <c r="R10" s="30" t="s">
        <v>642</v>
      </c>
      <c r="S10" s="30" t="s">
        <v>610</v>
      </c>
    </row>
    <row r="11" customFormat="false" ht="15" hidden="false" customHeight="false" outlineLevel="0" collapsed="false">
      <c r="A11" s="30" t="s">
        <v>643</v>
      </c>
      <c r="B11" s="30" t="s">
        <v>644</v>
      </c>
      <c r="C11" s="30" t="s">
        <v>631</v>
      </c>
      <c r="D11" s="30" t="s">
        <v>599</v>
      </c>
      <c r="E11" s="30" t="s">
        <v>632</v>
      </c>
      <c r="F11" s="30" t="s">
        <v>633</v>
      </c>
      <c r="G11" s="30" t="s">
        <v>602</v>
      </c>
      <c r="H11" s="30" t="s">
        <v>603</v>
      </c>
      <c r="I11" s="30" t="s">
        <v>586</v>
      </c>
      <c r="J11" s="30" t="s">
        <v>587</v>
      </c>
      <c r="K11" s="30" t="s">
        <v>604</v>
      </c>
      <c r="L11" s="30" t="s">
        <v>605</v>
      </c>
      <c r="M11" s="30" t="s">
        <v>645</v>
      </c>
      <c r="N11" s="30" t="s">
        <v>646</v>
      </c>
      <c r="O11" s="30" t="s">
        <v>608</v>
      </c>
      <c r="P11" s="30" t="s">
        <v>329</v>
      </c>
      <c r="Q11" s="30" t="s">
        <v>327</v>
      </c>
      <c r="R11" s="30" t="s">
        <v>647</v>
      </c>
      <c r="S11" s="30" t="s">
        <v>610</v>
      </c>
    </row>
    <row r="12" customFormat="false" ht="15" hidden="false" customHeight="false" outlineLevel="0" collapsed="false">
      <c r="A12" s="30" t="s">
        <v>648</v>
      </c>
      <c r="B12" s="30" t="s">
        <v>649</v>
      </c>
      <c r="C12" s="30" t="s">
        <v>598</v>
      </c>
      <c r="D12" s="30" t="s">
        <v>599</v>
      </c>
      <c r="E12" s="30" t="s">
        <v>600</v>
      </c>
      <c r="F12" s="30" t="s">
        <v>601</v>
      </c>
      <c r="G12" s="30" t="s">
        <v>602</v>
      </c>
      <c r="H12" s="30" t="s">
        <v>603</v>
      </c>
      <c r="I12" s="30" t="s">
        <v>586</v>
      </c>
      <c r="J12" s="30" t="s">
        <v>587</v>
      </c>
      <c r="K12" s="30" t="s">
        <v>604</v>
      </c>
      <c r="L12" s="30" t="s">
        <v>605</v>
      </c>
      <c r="M12" s="30" t="s">
        <v>640</v>
      </c>
      <c r="N12" s="30" t="s">
        <v>627</v>
      </c>
      <c r="O12" s="30" t="s">
        <v>608</v>
      </c>
      <c r="P12" s="30" t="s">
        <v>431</v>
      </c>
      <c r="Q12" s="30" t="s">
        <v>429</v>
      </c>
      <c r="R12" s="30" t="s">
        <v>650</v>
      </c>
      <c r="S12" s="30" t="s">
        <v>610</v>
      </c>
    </row>
    <row r="13" customFormat="false" ht="15" hidden="false" customHeight="false" outlineLevel="0" collapsed="false">
      <c r="A13" s="30" t="s">
        <v>651</v>
      </c>
      <c r="B13" s="30" t="s">
        <v>652</v>
      </c>
      <c r="C13" s="30" t="s">
        <v>598</v>
      </c>
      <c r="D13" s="30" t="s">
        <v>599</v>
      </c>
      <c r="E13" s="30" t="s">
        <v>600</v>
      </c>
      <c r="F13" s="30" t="s">
        <v>601</v>
      </c>
      <c r="G13" s="30" t="s">
        <v>602</v>
      </c>
      <c r="H13" s="30" t="s">
        <v>603</v>
      </c>
      <c r="I13" s="30" t="s">
        <v>586</v>
      </c>
      <c r="J13" s="30" t="s">
        <v>587</v>
      </c>
      <c r="K13" s="30" t="s">
        <v>604</v>
      </c>
      <c r="L13" s="30" t="s">
        <v>619</v>
      </c>
      <c r="M13" s="30" t="s">
        <v>620</v>
      </c>
      <c r="N13" s="30" t="s">
        <v>627</v>
      </c>
      <c r="O13" s="30" t="s">
        <v>608</v>
      </c>
      <c r="P13" s="30" t="s">
        <v>286</v>
      </c>
      <c r="Q13" s="30" t="s">
        <v>284</v>
      </c>
      <c r="R13" s="30" t="s">
        <v>653</v>
      </c>
      <c r="S13" s="30" t="s">
        <v>610</v>
      </c>
    </row>
    <row r="14" customFormat="false" ht="15" hidden="false" customHeight="false" outlineLevel="0" collapsed="false">
      <c r="A14" s="30" t="s">
        <v>654</v>
      </c>
      <c r="B14" s="30" t="s">
        <v>655</v>
      </c>
      <c r="C14" s="30" t="s">
        <v>598</v>
      </c>
      <c r="D14" s="30" t="s">
        <v>599</v>
      </c>
      <c r="E14" s="30" t="s">
        <v>600</v>
      </c>
      <c r="F14" s="30" t="s">
        <v>601</v>
      </c>
      <c r="G14" s="30" t="s">
        <v>602</v>
      </c>
      <c r="H14" s="30" t="s">
        <v>603</v>
      </c>
      <c r="I14" s="30" t="s">
        <v>586</v>
      </c>
      <c r="J14" s="30" t="s">
        <v>587</v>
      </c>
      <c r="K14" s="30" t="s">
        <v>604</v>
      </c>
      <c r="L14" s="30" t="s">
        <v>605</v>
      </c>
      <c r="M14" s="30" t="s">
        <v>606</v>
      </c>
      <c r="N14" s="30" t="s">
        <v>627</v>
      </c>
      <c r="O14" s="30" t="s">
        <v>608</v>
      </c>
      <c r="P14" s="30" t="s">
        <v>169</v>
      </c>
      <c r="Q14" s="30" t="s">
        <v>168</v>
      </c>
      <c r="R14" s="30" t="s">
        <v>656</v>
      </c>
      <c r="S14" s="30" t="s">
        <v>610</v>
      </c>
    </row>
    <row r="15" customFormat="false" ht="15" hidden="false" customHeight="false" outlineLevel="0" collapsed="false">
      <c r="A15" s="30" t="s">
        <v>657</v>
      </c>
      <c r="B15" s="30" t="s">
        <v>658</v>
      </c>
      <c r="C15" s="30" t="s">
        <v>631</v>
      </c>
      <c r="D15" s="30" t="s">
        <v>599</v>
      </c>
      <c r="E15" s="30" t="s">
        <v>632</v>
      </c>
      <c r="F15" s="30" t="s">
        <v>633</v>
      </c>
      <c r="G15" s="30" t="s">
        <v>602</v>
      </c>
      <c r="H15" s="30" t="s">
        <v>603</v>
      </c>
      <c r="I15" s="30" t="s">
        <v>586</v>
      </c>
      <c r="J15" s="30" t="s">
        <v>587</v>
      </c>
      <c r="K15" s="30" t="s">
        <v>604</v>
      </c>
      <c r="L15" s="30" t="s">
        <v>605</v>
      </c>
      <c r="M15" s="30" t="s">
        <v>620</v>
      </c>
      <c r="N15" s="30" t="s">
        <v>607</v>
      </c>
      <c r="O15" s="30" t="s">
        <v>608</v>
      </c>
      <c r="P15" s="30" t="s">
        <v>493</v>
      </c>
      <c r="Q15" s="30" t="s">
        <v>491</v>
      </c>
      <c r="R15" s="30" t="s">
        <v>659</v>
      </c>
      <c r="S15" s="30" t="s">
        <v>610</v>
      </c>
    </row>
    <row r="16" customFormat="false" ht="15" hidden="false" customHeight="false" outlineLevel="0" collapsed="false">
      <c r="A16" s="30" t="s">
        <v>660</v>
      </c>
      <c r="B16" s="30" t="s">
        <v>661</v>
      </c>
      <c r="C16" s="30" t="s">
        <v>598</v>
      </c>
      <c r="D16" s="30" t="s">
        <v>599</v>
      </c>
      <c r="E16" s="30" t="s">
        <v>600</v>
      </c>
      <c r="F16" s="30" t="s">
        <v>601</v>
      </c>
      <c r="G16" s="30" t="s">
        <v>602</v>
      </c>
      <c r="H16" s="30" t="s">
        <v>603</v>
      </c>
      <c r="I16" s="30" t="s">
        <v>586</v>
      </c>
      <c r="J16" s="30" t="s">
        <v>587</v>
      </c>
      <c r="K16" s="30" t="s">
        <v>604</v>
      </c>
      <c r="L16" s="30" t="s">
        <v>605</v>
      </c>
      <c r="M16" s="30" t="s">
        <v>640</v>
      </c>
      <c r="N16" s="30" t="s">
        <v>627</v>
      </c>
      <c r="O16" s="30" t="s">
        <v>641</v>
      </c>
      <c r="P16" s="30" t="s">
        <v>166</v>
      </c>
      <c r="Q16" s="30" t="s">
        <v>164</v>
      </c>
      <c r="R16" s="30" t="s">
        <v>662</v>
      </c>
      <c r="S16" s="30" t="s">
        <v>610</v>
      </c>
    </row>
    <row r="17" customFormat="false" ht="15" hidden="false" customHeight="false" outlineLevel="0" collapsed="false">
      <c r="A17" s="30" t="s">
        <v>663</v>
      </c>
      <c r="B17" s="30" t="s">
        <v>664</v>
      </c>
      <c r="C17" s="30" t="s">
        <v>598</v>
      </c>
      <c r="D17" s="30" t="s">
        <v>599</v>
      </c>
      <c r="E17" s="30" t="s">
        <v>600</v>
      </c>
      <c r="F17" s="30" t="s">
        <v>601</v>
      </c>
      <c r="G17" s="30" t="s">
        <v>602</v>
      </c>
      <c r="H17" s="30" t="s">
        <v>603</v>
      </c>
      <c r="I17" s="30" t="s">
        <v>586</v>
      </c>
      <c r="J17" s="30" t="s">
        <v>587</v>
      </c>
      <c r="K17" s="30" t="s">
        <v>604</v>
      </c>
      <c r="L17" s="30" t="s">
        <v>605</v>
      </c>
      <c r="M17" s="30" t="s">
        <v>620</v>
      </c>
      <c r="N17" s="30" t="s">
        <v>627</v>
      </c>
      <c r="O17" s="30" t="s">
        <v>608</v>
      </c>
      <c r="P17" s="30" t="s">
        <v>282</v>
      </c>
      <c r="Q17" s="30" t="s">
        <v>281</v>
      </c>
      <c r="R17" s="30" t="s">
        <v>656</v>
      </c>
      <c r="S17" s="30" t="s">
        <v>610</v>
      </c>
    </row>
    <row r="18" customFormat="false" ht="15" hidden="false" customHeight="false" outlineLevel="0" collapsed="false">
      <c r="A18" s="30" t="s">
        <v>665</v>
      </c>
      <c r="B18" s="30" t="s">
        <v>666</v>
      </c>
      <c r="C18" s="30" t="s">
        <v>616</v>
      </c>
      <c r="D18" s="30" t="s">
        <v>599</v>
      </c>
      <c r="E18" s="30" t="s">
        <v>617</v>
      </c>
      <c r="F18" s="30" t="s">
        <v>618</v>
      </c>
      <c r="G18" s="30" t="s">
        <v>602</v>
      </c>
      <c r="H18" s="30" t="s">
        <v>603</v>
      </c>
      <c r="I18" s="30" t="s">
        <v>586</v>
      </c>
      <c r="J18" s="30" t="s">
        <v>587</v>
      </c>
      <c r="K18" s="30" t="s">
        <v>604</v>
      </c>
      <c r="L18" s="30" t="s">
        <v>605</v>
      </c>
      <c r="M18" s="30" t="s">
        <v>620</v>
      </c>
      <c r="N18" s="30" t="s">
        <v>627</v>
      </c>
      <c r="O18" s="30" t="s">
        <v>641</v>
      </c>
      <c r="P18" s="30" t="s">
        <v>85</v>
      </c>
      <c r="Q18" s="30" t="s">
        <v>84</v>
      </c>
      <c r="R18" s="30" t="s">
        <v>656</v>
      </c>
      <c r="S18" s="30" t="s">
        <v>610</v>
      </c>
    </row>
    <row r="19" customFormat="false" ht="15" hidden="false" customHeight="false" outlineLevel="0" collapsed="false">
      <c r="A19" s="30" t="s">
        <v>667</v>
      </c>
      <c r="B19" s="30" t="s">
        <v>668</v>
      </c>
      <c r="C19" s="30" t="s">
        <v>616</v>
      </c>
      <c r="D19" s="30" t="s">
        <v>599</v>
      </c>
      <c r="E19" s="30" t="s">
        <v>617</v>
      </c>
      <c r="F19" s="30" t="s">
        <v>618</v>
      </c>
      <c r="G19" s="30" t="s">
        <v>602</v>
      </c>
      <c r="H19" s="30" t="s">
        <v>603</v>
      </c>
      <c r="I19" s="30" t="s">
        <v>586</v>
      </c>
      <c r="J19" s="30" t="s">
        <v>587</v>
      </c>
      <c r="K19" s="30" t="s">
        <v>604</v>
      </c>
      <c r="L19" s="30" t="s">
        <v>605</v>
      </c>
      <c r="M19" s="30" t="s">
        <v>620</v>
      </c>
      <c r="N19" s="30" t="s">
        <v>627</v>
      </c>
      <c r="O19" s="30" t="s">
        <v>608</v>
      </c>
      <c r="P19" s="30" t="s">
        <v>279</v>
      </c>
      <c r="Q19" s="30" t="s">
        <v>202</v>
      </c>
      <c r="R19" s="30" t="s">
        <v>669</v>
      </c>
      <c r="S19" s="30" t="s">
        <v>610</v>
      </c>
    </row>
    <row r="20" customFormat="false" ht="15" hidden="false" customHeight="false" outlineLevel="0" collapsed="false">
      <c r="A20" s="30" t="s">
        <v>670</v>
      </c>
      <c r="B20" s="30" t="s">
        <v>671</v>
      </c>
      <c r="C20" s="30" t="s">
        <v>616</v>
      </c>
      <c r="D20" s="30" t="s">
        <v>599</v>
      </c>
      <c r="E20" s="30" t="s">
        <v>617</v>
      </c>
      <c r="F20" s="30" t="s">
        <v>618</v>
      </c>
      <c r="G20" s="30" t="s">
        <v>602</v>
      </c>
      <c r="H20" s="30" t="s">
        <v>603</v>
      </c>
      <c r="I20" s="30" t="s">
        <v>586</v>
      </c>
      <c r="J20" s="30" t="s">
        <v>587</v>
      </c>
      <c r="K20" s="30" t="s">
        <v>604</v>
      </c>
      <c r="L20" s="30" t="s">
        <v>605</v>
      </c>
      <c r="M20" s="30" t="s">
        <v>640</v>
      </c>
      <c r="N20" s="30" t="s">
        <v>607</v>
      </c>
      <c r="O20" s="30" t="s">
        <v>608</v>
      </c>
      <c r="P20" s="30" t="s">
        <v>546</v>
      </c>
      <c r="Q20" s="30" t="s">
        <v>544</v>
      </c>
      <c r="R20" s="30" t="s">
        <v>672</v>
      </c>
      <c r="S20" s="30" t="s">
        <v>610</v>
      </c>
    </row>
    <row r="21" customFormat="false" ht="15" hidden="false" customHeight="false" outlineLevel="0" collapsed="false">
      <c r="A21" s="30" t="s">
        <v>673</v>
      </c>
      <c r="B21" s="30" t="s">
        <v>674</v>
      </c>
      <c r="C21" s="30" t="s">
        <v>616</v>
      </c>
      <c r="D21" s="30" t="s">
        <v>599</v>
      </c>
      <c r="E21" s="30" t="s">
        <v>617</v>
      </c>
      <c r="F21" s="30" t="s">
        <v>618</v>
      </c>
      <c r="G21" s="30" t="s">
        <v>602</v>
      </c>
      <c r="H21" s="30" t="s">
        <v>603</v>
      </c>
      <c r="I21" s="30" t="s">
        <v>586</v>
      </c>
      <c r="J21" s="30" t="s">
        <v>587</v>
      </c>
      <c r="K21" s="30" t="s">
        <v>604</v>
      </c>
      <c r="L21" s="30" t="s">
        <v>605</v>
      </c>
      <c r="M21" s="30" t="s">
        <v>645</v>
      </c>
      <c r="N21" s="30" t="s">
        <v>627</v>
      </c>
      <c r="O21" s="30" t="s">
        <v>641</v>
      </c>
      <c r="P21" s="30" t="s">
        <v>71</v>
      </c>
      <c r="Q21" s="30" t="s">
        <v>83</v>
      </c>
      <c r="R21" s="30" t="s">
        <v>675</v>
      </c>
      <c r="S21" s="30" t="s">
        <v>610</v>
      </c>
    </row>
    <row r="22" customFormat="false" ht="15" hidden="false" customHeight="false" outlineLevel="0" collapsed="false">
      <c r="A22" s="30" t="s">
        <v>676</v>
      </c>
      <c r="B22" s="30" t="s">
        <v>677</v>
      </c>
      <c r="C22" s="30" t="s">
        <v>616</v>
      </c>
      <c r="D22" s="30" t="s">
        <v>599</v>
      </c>
      <c r="E22" s="30" t="s">
        <v>617</v>
      </c>
      <c r="F22" s="30" t="s">
        <v>618</v>
      </c>
      <c r="G22" s="30" t="s">
        <v>602</v>
      </c>
      <c r="H22" s="30" t="s">
        <v>603</v>
      </c>
      <c r="I22" s="30" t="s">
        <v>586</v>
      </c>
      <c r="J22" s="30" t="s">
        <v>587</v>
      </c>
      <c r="K22" s="30" t="s">
        <v>604</v>
      </c>
      <c r="L22" s="30" t="s">
        <v>619</v>
      </c>
      <c r="M22" s="30" t="s">
        <v>620</v>
      </c>
      <c r="N22" s="30" t="s">
        <v>627</v>
      </c>
      <c r="O22" s="30" t="s">
        <v>608</v>
      </c>
      <c r="P22" s="30" t="s">
        <v>276</v>
      </c>
      <c r="Q22" s="30" t="s">
        <v>275</v>
      </c>
      <c r="R22" s="30" t="s">
        <v>678</v>
      </c>
      <c r="S22" s="30" t="s">
        <v>610</v>
      </c>
    </row>
    <row r="23" customFormat="false" ht="15" hidden="false" customHeight="false" outlineLevel="0" collapsed="false">
      <c r="A23" s="30" t="s">
        <v>679</v>
      </c>
      <c r="B23" s="30" t="s">
        <v>680</v>
      </c>
      <c r="C23" s="30" t="s">
        <v>598</v>
      </c>
      <c r="D23" s="30" t="s">
        <v>599</v>
      </c>
      <c r="E23" s="30" t="s">
        <v>600</v>
      </c>
      <c r="F23" s="30" t="s">
        <v>601</v>
      </c>
      <c r="G23" s="30" t="s">
        <v>602</v>
      </c>
      <c r="H23" s="30" t="s">
        <v>603</v>
      </c>
      <c r="I23" s="30" t="s">
        <v>586</v>
      </c>
      <c r="J23" s="30" t="s">
        <v>587</v>
      </c>
      <c r="K23" s="30" t="s">
        <v>604</v>
      </c>
      <c r="L23" s="30" t="s">
        <v>605</v>
      </c>
      <c r="M23" s="30" t="s">
        <v>640</v>
      </c>
      <c r="N23" s="30" t="s">
        <v>627</v>
      </c>
      <c r="O23" s="30" t="s">
        <v>608</v>
      </c>
      <c r="P23" s="30" t="s">
        <v>427</v>
      </c>
      <c r="Q23" s="30" t="s">
        <v>425</v>
      </c>
      <c r="R23" s="30" t="s">
        <v>681</v>
      </c>
      <c r="S23" s="30" t="s">
        <v>610</v>
      </c>
    </row>
    <row r="24" customFormat="false" ht="15" hidden="false" customHeight="false" outlineLevel="0" collapsed="false">
      <c r="A24" s="30" t="s">
        <v>682</v>
      </c>
      <c r="B24" s="30" t="s">
        <v>683</v>
      </c>
      <c r="C24" s="30" t="s">
        <v>631</v>
      </c>
      <c r="D24" s="30" t="s">
        <v>599</v>
      </c>
      <c r="E24" s="30" t="s">
        <v>632</v>
      </c>
      <c r="F24" s="30" t="s">
        <v>633</v>
      </c>
      <c r="G24" s="30" t="s">
        <v>602</v>
      </c>
      <c r="H24" s="30" t="s">
        <v>603</v>
      </c>
      <c r="I24" s="30" t="s">
        <v>586</v>
      </c>
      <c r="J24" s="30" t="s">
        <v>587</v>
      </c>
      <c r="K24" s="30" t="s">
        <v>604</v>
      </c>
      <c r="L24" s="30" t="s">
        <v>605</v>
      </c>
      <c r="M24" s="30" t="s">
        <v>645</v>
      </c>
      <c r="N24" s="30" t="s">
        <v>607</v>
      </c>
      <c r="O24" s="30" t="s">
        <v>608</v>
      </c>
      <c r="P24" s="30" t="s">
        <v>423</v>
      </c>
      <c r="Q24" s="30" t="s">
        <v>421</v>
      </c>
      <c r="R24" s="30" t="s">
        <v>684</v>
      </c>
      <c r="S24" s="30" t="s">
        <v>610</v>
      </c>
    </row>
    <row r="25" customFormat="false" ht="15" hidden="false" customHeight="false" outlineLevel="0" collapsed="false">
      <c r="A25" s="30" t="s">
        <v>685</v>
      </c>
      <c r="B25" s="30" t="s">
        <v>686</v>
      </c>
      <c r="C25" s="30" t="s">
        <v>616</v>
      </c>
      <c r="D25" s="30" t="s">
        <v>599</v>
      </c>
      <c r="E25" s="30" t="s">
        <v>617</v>
      </c>
      <c r="F25" s="30" t="s">
        <v>618</v>
      </c>
      <c r="G25" s="30" t="s">
        <v>602</v>
      </c>
      <c r="H25" s="30" t="s">
        <v>603</v>
      </c>
      <c r="I25" s="30" t="s">
        <v>586</v>
      </c>
      <c r="J25" s="30" t="s">
        <v>587</v>
      </c>
      <c r="K25" s="30" t="s">
        <v>604</v>
      </c>
      <c r="L25" s="30" t="s">
        <v>619</v>
      </c>
      <c r="M25" s="30" t="s">
        <v>645</v>
      </c>
      <c r="N25" s="30" t="s">
        <v>607</v>
      </c>
      <c r="O25" s="30" t="s">
        <v>608</v>
      </c>
      <c r="P25" s="30" t="s">
        <v>419</v>
      </c>
      <c r="Q25" s="30" t="s">
        <v>417</v>
      </c>
      <c r="R25" s="30" t="s">
        <v>687</v>
      </c>
      <c r="S25" s="30" t="s">
        <v>610</v>
      </c>
    </row>
    <row r="26" customFormat="false" ht="15" hidden="false" customHeight="false" outlineLevel="0" collapsed="false">
      <c r="A26" s="30" t="s">
        <v>688</v>
      </c>
      <c r="B26" s="30" t="s">
        <v>689</v>
      </c>
      <c r="C26" s="30" t="s">
        <v>616</v>
      </c>
      <c r="D26" s="30" t="s">
        <v>599</v>
      </c>
      <c r="E26" s="30" t="s">
        <v>617</v>
      </c>
      <c r="F26" s="30" t="s">
        <v>618</v>
      </c>
      <c r="G26" s="30" t="s">
        <v>602</v>
      </c>
      <c r="H26" s="30" t="s">
        <v>603</v>
      </c>
      <c r="I26" s="30" t="s">
        <v>586</v>
      </c>
      <c r="J26" s="30" t="s">
        <v>587</v>
      </c>
      <c r="K26" s="30" t="s">
        <v>604</v>
      </c>
      <c r="L26" s="30" t="s">
        <v>605</v>
      </c>
      <c r="M26" s="30" t="s">
        <v>606</v>
      </c>
      <c r="N26" s="30" t="s">
        <v>627</v>
      </c>
      <c r="O26" s="30" t="s">
        <v>608</v>
      </c>
      <c r="P26" s="30" t="s">
        <v>162</v>
      </c>
      <c r="Q26" s="30" t="s">
        <v>160</v>
      </c>
      <c r="R26" s="30" t="s">
        <v>690</v>
      </c>
      <c r="S26" s="30" t="s">
        <v>610</v>
      </c>
    </row>
    <row r="27" customFormat="false" ht="15" hidden="false" customHeight="false" outlineLevel="0" collapsed="false">
      <c r="A27" s="30" t="s">
        <v>691</v>
      </c>
      <c r="B27" s="30" t="s">
        <v>692</v>
      </c>
      <c r="C27" s="30" t="s">
        <v>631</v>
      </c>
      <c r="D27" s="30" t="s">
        <v>599</v>
      </c>
      <c r="E27" s="30" t="s">
        <v>632</v>
      </c>
      <c r="F27" s="30" t="s">
        <v>633</v>
      </c>
      <c r="G27" s="30" t="s">
        <v>602</v>
      </c>
      <c r="H27" s="30" t="s">
        <v>603</v>
      </c>
      <c r="I27" s="30" t="s">
        <v>586</v>
      </c>
      <c r="J27" s="30" t="s">
        <v>587</v>
      </c>
      <c r="K27" s="30" t="s">
        <v>604</v>
      </c>
      <c r="L27" s="30" t="s">
        <v>605</v>
      </c>
      <c r="M27" s="30" t="s">
        <v>640</v>
      </c>
      <c r="N27" s="30" t="s">
        <v>607</v>
      </c>
      <c r="O27" s="30" t="s">
        <v>608</v>
      </c>
      <c r="P27" s="30" t="s">
        <v>542</v>
      </c>
      <c r="Q27" s="30" t="s">
        <v>540</v>
      </c>
      <c r="R27" s="30" t="s">
        <v>693</v>
      </c>
      <c r="S27" s="30" t="s">
        <v>610</v>
      </c>
    </row>
    <row r="28" customFormat="false" ht="15" hidden="false" customHeight="false" outlineLevel="0" collapsed="false">
      <c r="A28" s="30" t="s">
        <v>694</v>
      </c>
      <c r="B28" s="30" t="s">
        <v>695</v>
      </c>
      <c r="C28" s="30" t="s">
        <v>616</v>
      </c>
      <c r="D28" s="30" t="s">
        <v>599</v>
      </c>
      <c r="E28" s="30" t="s">
        <v>617</v>
      </c>
      <c r="F28" s="30" t="s">
        <v>618</v>
      </c>
      <c r="G28" s="30" t="s">
        <v>602</v>
      </c>
      <c r="H28" s="30" t="s">
        <v>603</v>
      </c>
      <c r="I28" s="30" t="s">
        <v>586</v>
      </c>
      <c r="J28" s="30" t="s">
        <v>587</v>
      </c>
      <c r="K28" s="30" t="s">
        <v>604</v>
      </c>
      <c r="L28" s="30" t="s">
        <v>605</v>
      </c>
      <c r="M28" s="30" t="s">
        <v>606</v>
      </c>
      <c r="N28" s="30" t="s">
        <v>627</v>
      </c>
      <c r="O28" s="30" t="s">
        <v>15</v>
      </c>
      <c r="P28" s="30" t="s">
        <v>51</v>
      </c>
      <c r="Q28" s="30" t="s">
        <v>50</v>
      </c>
      <c r="R28" s="30" t="s">
        <v>656</v>
      </c>
      <c r="S28" s="30" t="s">
        <v>610</v>
      </c>
    </row>
    <row r="29" customFormat="false" ht="15" hidden="false" customHeight="false" outlineLevel="0" collapsed="false">
      <c r="A29" s="30" t="s">
        <v>696</v>
      </c>
      <c r="B29" s="30" t="s">
        <v>697</v>
      </c>
      <c r="C29" s="30" t="s">
        <v>616</v>
      </c>
      <c r="D29" s="30" t="s">
        <v>599</v>
      </c>
      <c r="E29" s="30" t="s">
        <v>617</v>
      </c>
      <c r="F29" s="30" t="s">
        <v>618</v>
      </c>
      <c r="G29" s="30" t="s">
        <v>602</v>
      </c>
      <c r="H29" s="30" t="s">
        <v>603</v>
      </c>
      <c r="I29" s="30" t="s">
        <v>586</v>
      </c>
      <c r="J29" s="30" t="s">
        <v>587</v>
      </c>
      <c r="K29" s="30" t="s">
        <v>604</v>
      </c>
      <c r="L29" s="30" t="s">
        <v>605</v>
      </c>
      <c r="M29" s="30" t="s">
        <v>620</v>
      </c>
      <c r="N29" s="30" t="s">
        <v>627</v>
      </c>
      <c r="O29" s="30" t="s">
        <v>608</v>
      </c>
      <c r="P29" s="30" t="s">
        <v>273</v>
      </c>
      <c r="Q29" s="30" t="s">
        <v>271</v>
      </c>
      <c r="R29" s="30" t="s">
        <v>698</v>
      </c>
      <c r="S29" s="30" t="s">
        <v>610</v>
      </c>
    </row>
    <row r="30" customFormat="false" ht="15" hidden="false" customHeight="false" outlineLevel="0" collapsed="false">
      <c r="A30" s="30" t="s">
        <v>699</v>
      </c>
      <c r="B30" s="30" t="s">
        <v>700</v>
      </c>
      <c r="C30" s="30" t="s">
        <v>616</v>
      </c>
      <c r="D30" s="30" t="s">
        <v>599</v>
      </c>
      <c r="E30" s="30" t="s">
        <v>617</v>
      </c>
      <c r="F30" s="30" t="s">
        <v>618</v>
      </c>
      <c r="G30" s="30" t="s">
        <v>602</v>
      </c>
      <c r="H30" s="30" t="s">
        <v>603</v>
      </c>
      <c r="I30" s="30" t="s">
        <v>586</v>
      </c>
      <c r="J30" s="30" t="s">
        <v>587</v>
      </c>
      <c r="K30" s="30" t="s">
        <v>604</v>
      </c>
      <c r="L30" s="30" t="s">
        <v>619</v>
      </c>
      <c r="M30" s="30" t="s">
        <v>640</v>
      </c>
      <c r="N30" s="30" t="s">
        <v>627</v>
      </c>
      <c r="O30" s="30" t="s">
        <v>608</v>
      </c>
      <c r="P30" s="30" t="s">
        <v>415</v>
      </c>
      <c r="Q30" s="30" t="s">
        <v>413</v>
      </c>
      <c r="R30" s="30" t="s">
        <v>701</v>
      </c>
      <c r="S30" s="30" t="s">
        <v>610</v>
      </c>
    </row>
    <row r="31" customFormat="false" ht="15" hidden="false" customHeight="false" outlineLevel="0" collapsed="false">
      <c r="A31" s="30" t="s">
        <v>702</v>
      </c>
      <c r="B31" s="30" t="s">
        <v>703</v>
      </c>
      <c r="C31" s="30" t="s">
        <v>598</v>
      </c>
      <c r="D31" s="30" t="s">
        <v>599</v>
      </c>
      <c r="E31" s="30" t="s">
        <v>600</v>
      </c>
      <c r="F31" s="30" t="s">
        <v>601</v>
      </c>
      <c r="G31" s="30" t="s">
        <v>602</v>
      </c>
      <c r="H31" s="30" t="s">
        <v>603</v>
      </c>
      <c r="I31" s="30" t="s">
        <v>586</v>
      </c>
      <c r="J31" s="30" t="s">
        <v>587</v>
      </c>
      <c r="K31" s="30" t="s">
        <v>604</v>
      </c>
      <c r="L31" s="30" t="s">
        <v>605</v>
      </c>
      <c r="M31" s="30" t="s">
        <v>620</v>
      </c>
      <c r="N31" s="30" t="s">
        <v>627</v>
      </c>
      <c r="O31" s="30" t="s">
        <v>608</v>
      </c>
      <c r="P31" s="30" t="s">
        <v>269</v>
      </c>
      <c r="Q31" s="30" t="s">
        <v>267</v>
      </c>
      <c r="R31" s="30" t="s">
        <v>704</v>
      </c>
      <c r="S31" s="30" t="s">
        <v>610</v>
      </c>
    </row>
    <row r="32" customFormat="false" ht="15" hidden="false" customHeight="false" outlineLevel="0" collapsed="false">
      <c r="A32" s="30" t="s">
        <v>705</v>
      </c>
      <c r="B32" s="30" t="s">
        <v>706</v>
      </c>
      <c r="C32" s="30" t="s">
        <v>631</v>
      </c>
      <c r="D32" s="30" t="s">
        <v>599</v>
      </c>
      <c r="E32" s="30" t="s">
        <v>632</v>
      </c>
      <c r="F32" s="30" t="s">
        <v>633</v>
      </c>
      <c r="G32" s="30" t="s">
        <v>602</v>
      </c>
      <c r="H32" s="30" t="s">
        <v>603</v>
      </c>
      <c r="I32" s="30" t="s">
        <v>586</v>
      </c>
      <c r="J32" s="30" t="s">
        <v>587</v>
      </c>
      <c r="K32" s="30" t="s">
        <v>604</v>
      </c>
      <c r="L32" s="30" t="s">
        <v>619</v>
      </c>
      <c r="M32" s="30" t="s">
        <v>620</v>
      </c>
      <c r="N32" s="30" t="s">
        <v>607</v>
      </c>
      <c r="O32" s="30" t="s">
        <v>608</v>
      </c>
      <c r="P32" s="30" t="s">
        <v>489</v>
      </c>
      <c r="Q32" s="30" t="s">
        <v>488</v>
      </c>
      <c r="R32" s="30" t="s">
        <v>656</v>
      </c>
      <c r="S32" s="30" t="s">
        <v>610</v>
      </c>
    </row>
    <row r="33" customFormat="false" ht="15" hidden="false" customHeight="false" outlineLevel="0" collapsed="false">
      <c r="A33" s="30" t="s">
        <v>707</v>
      </c>
      <c r="B33" s="30" t="s">
        <v>708</v>
      </c>
      <c r="C33" s="30" t="s">
        <v>616</v>
      </c>
      <c r="D33" s="30" t="s">
        <v>599</v>
      </c>
      <c r="E33" s="30" t="s">
        <v>617</v>
      </c>
      <c r="F33" s="30" t="s">
        <v>618</v>
      </c>
      <c r="G33" s="30" t="s">
        <v>602</v>
      </c>
      <c r="H33" s="30" t="s">
        <v>603</v>
      </c>
      <c r="I33" s="30" t="s">
        <v>586</v>
      </c>
      <c r="J33" s="30" t="s">
        <v>587</v>
      </c>
      <c r="K33" s="30" t="s">
        <v>604</v>
      </c>
      <c r="L33" s="30" t="s">
        <v>619</v>
      </c>
      <c r="M33" s="30" t="s">
        <v>620</v>
      </c>
      <c r="N33" s="30" t="s">
        <v>627</v>
      </c>
      <c r="O33" s="30" t="s">
        <v>608</v>
      </c>
      <c r="P33" s="30" t="s">
        <v>265</v>
      </c>
      <c r="Q33" s="30" t="s">
        <v>263</v>
      </c>
      <c r="R33" s="30" t="s">
        <v>709</v>
      </c>
      <c r="S33" s="30" t="s">
        <v>610</v>
      </c>
    </row>
    <row r="34" customFormat="false" ht="15" hidden="false" customHeight="false" outlineLevel="0" collapsed="false">
      <c r="A34" s="30" t="s">
        <v>710</v>
      </c>
      <c r="B34" s="30" t="s">
        <v>711</v>
      </c>
      <c r="C34" s="30" t="s">
        <v>631</v>
      </c>
      <c r="D34" s="30" t="s">
        <v>599</v>
      </c>
      <c r="E34" s="30" t="s">
        <v>632</v>
      </c>
      <c r="F34" s="30" t="s">
        <v>633</v>
      </c>
      <c r="G34" s="30" t="s">
        <v>602</v>
      </c>
      <c r="H34" s="30" t="s">
        <v>603</v>
      </c>
      <c r="I34" s="30" t="s">
        <v>586</v>
      </c>
      <c r="J34" s="30" t="s">
        <v>587</v>
      </c>
      <c r="K34" s="30" t="s">
        <v>604</v>
      </c>
      <c r="L34" s="30" t="s">
        <v>605</v>
      </c>
      <c r="M34" s="30" t="s">
        <v>606</v>
      </c>
      <c r="N34" s="30" t="s">
        <v>607</v>
      </c>
      <c r="O34" s="30" t="s">
        <v>608</v>
      </c>
      <c r="P34" s="30" t="s">
        <v>325</v>
      </c>
      <c r="Q34" s="30" t="s">
        <v>323</v>
      </c>
      <c r="R34" s="30" t="s">
        <v>712</v>
      </c>
      <c r="S34" s="30" t="s">
        <v>610</v>
      </c>
    </row>
    <row r="35" customFormat="false" ht="15" hidden="false" customHeight="false" outlineLevel="0" collapsed="false">
      <c r="A35" s="30" t="s">
        <v>713</v>
      </c>
      <c r="B35" s="30" t="s">
        <v>714</v>
      </c>
      <c r="C35" s="30" t="s">
        <v>598</v>
      </c>
      <c r="D35" s="30" t="s">
        <v>599</v>
      </c>
      <c r="E35" s="30" t="s">
        <v>600</v>
      </c>
      <c r="F35" s="30" t="s">
        <v>601</v>
      </c>
      <c r="G35" s="30" t="s">
        <v>602</v>
      </c>
      <c r="H35" s="30" t="s">
        <v>603</v>
      </c>
      <c r="I35" s="30" t="s">
        <v>586</v>
      </c>
      <c r="J35" s="30" t="s">
        <v>587</v>
      </c>
      <c r="K35" s="30" t="s">
        <v>604</v>
      </c>
      <c r="L35" s="30" t="s">
        <v>605</v>
      </c>
      <c r="M35" s="30" t="s">
        <v>606</v>
      </c>
      <c r="N35" s="30" t="s">
        <v>627</v>
      </c>
      <c r="O35" s="30" t="s">
        <v>641</v>
      </c>
      <c r="P35" s="30" t="s">
        <v>74</v>
      </c>
      <c r="Q35" s="30" t="s">
        <v>72</v>
      </c>
      <c r="R35" s="30" t="s">
        <v>715</v>
      </c>
      <c r="S35" s="30" t="s">
        <v>610</v>
      </c>
    </row>
    <row r="36" customFormat="false" ht="15" hidden="false" customHeight="false" outlineLevel="0" collapsed="false">
      <c r="A36" s="30" t="s">
        <v>716</v>
      </c>
      <c r="B36" s="30" t="s">
        <v>717</v>
      </c>
      <c r="C36" s="30" t="s">
        <v>631</v>
      </c>
      <c r="D36" s="30" t="s">
        <v>599</v>
      </c>
      <c r="E36" s="30" t="s">
        <v>632</v>
      </c>
      <c r="F36" s="30" t="s">
        <v>633</v>
      </c>
      <c r="G36" s="30" t="s">
        <v>602</v>
      </c>
      <c r="H36" s="30" t="s">
        <v>603</v>
      </c>
      <c r="I36" s="30" t="s">
        <v>586</v>
      </c>
      <c r="J36" s="30" t="s">
        <v>587</v>
      </c>
      <c r="K36" s="30" t="s">
        <v>604</v>
      </c>
      <c r="L36" s="30" t="s">
        <v>619</v>
      </c>
      <c r="M36" s="30" t="s">
        <v>606</v>
      </c>
      <c r="N36" s="30" t="s">
        <v>607</v>
      </c>
      <c r="O36" s="30" t="s">
        <v>608</v>
      </c>
      <c r="P36" s="30" t="s">
        <v>321</v>
      </c>
      <c r="Q36" s="30" t="s">
        <v>319</v>
      </c>
      <c r="R36" s="30" t="s">
        <v>718</v>
      </c>
      <c r="S36" s="30" t="s">
        <v>610</v>
      </c>
    </row>
    <row r="37" customFormat="false" ht="15" hidden="false" customHeight="false" outlineLevel="0" collapsed="false">
      <c r="A37" s="30" t="s">
        <v>719</v>
      </c>
      <c r="B37" s="30" t="s">
        <v>720</v>
      </c>
      <c r="C37" s="30" t="s">
        <v>616</v>
      </c>
      <c r="D37" s="30" t="s">
        <v>599</v>
      </c>
      <c r="E37" s="30" t="s">
        <v>617</v>
      </c>
      <c r="F37" s="30" t="s">
        <v>618</v>
      </c>
      <c r="G37" s="30" t="s">
        <v>602</v>
      </c>
      <c r="H37" s="30" t="s">
        <v>603</v>
      </c>
      <c r="I37" s="30" t="s">
        <v>586</v>
      </c>
      <c r="J37" s="30" t="s">
        <v>587</v>
      </c>
      <c r="K37" s="30" t="s">
        <v>604</v>
      </c>
      <c r="L37" s="30" t="s">
        <v>605</v>
      </c>
      <c r="M37" s="30" t="s">
        <v>645</v>
      </c>
      <c r="N37" s="30" t="s">
        <v>627</v>
      </c>
      <c r="O37" s="30" t="s">
        <v>608</v>
      </c>
      <c r="P37" s="30" t="s">
        <v>227</v>
      </c>
      <c r="Q37" s="30" t="s">
        <v>225</v>
      </c>
      <c r="R37" s="30" t="s">
        <v>678</v>
      </c>
      <c r="S37" s="30" t="s">
        <v>610</v>
      </c>
    </row>
    <row r="38" customFormat="false" ht="15" hidden="false" customHeight="false" outlineLevel="0" collapsed="false">
      <c r="A38" s="30" t="s">
        <v>721</v>
      </c>
      <c r="B38" s="30" t="s">
        <v>722</v>
      </c>
      <c r="C38" s="30" t="s">
        <v>616</v>
      </c>
      <c r="D38" s="30" t="s">
        <v>599</v>
      </c>
      <c r="E38" s="30" t="s">
        <v>617</v>
      </c>
      <c r="F38" s="30" t="s">
        <v>618</v>
      </c>
      <c r="G38" s="30" t="s">
        <v>602</v>
      </c>
      <c r="H38" s="30" t="s">
        <v>603</v>
      </c>
      <c r="I38" s="30" t="s">
        <v>586</v>
      </c>
      <c r="J38" s="30" t="s">
        <v>587</v>
      </c>
      <c r="K38" s="30" t="s">
        <v>604</v>
      </c>
      <c r="L38" s="30" t="s">
        <v>619</v>
      </c>
      <c r="M38" s="30" t="s">
        <v>620</v>
      </c>
      <c r="N38" s="30" t="s">
        <v>607</v>
      </c>
      <c r="O38" s="30" t="s">
        <v>608</v>
      </c>
      <c r="P38" s="30" t="s">
        <v>486</v>
      </c>
      <c r="Q38" s="30" t="s">
        <v>485</v>
      </c>
      <c r="R38" s="30" t="s">
        <v>656</v>
      </c>
      <c r="S38" s="30" t="s">
        <v>610</v>
      </c>
    </row>
    <row r="39" customFormat="false" ht="15" hidden="false" customHeight="false" outlineLevel="0" collapsed="false">
      <c r="A39" s="30" t="s">
        <v>723</v>
      </c>
      <c r="B39" s="30" t="s">
        <v>724</v>
      </c>
      <c r="C39" s="30" t="s">
        <v>598</v>
      </c>
      <c r="D39" s="30" t="s">
        <v>599</v>
      </c>
      <c r="E39" s="30" t="s">
        <v>600</v>
      </c>
      <c r="F39" s="30" t="s">
        <v>601</v>
      </c>
      <c r="G39" s="30" t="s">
        <v>602</v>
      </c>
      <c r="H39" s="30" t="s">
        <v>603</v>
      </c>
      <c r="I39" s="30" t="s">
        <v>586</v>
      </c>
      <c r="J39" s="30" t="s">
        <v>587</v>
      </c>
      <c r="K39" s="30" t="s">
        <v>604</v>
      </c>
      <c r="L39" s="30" t="s">
        <v>605</v>
      </c>
      <c r="M39" s="30" t="s">
        <v>606</v>
      </c>
      <c r="N39" s="30" t="s">
        <v>607</v>
      </c>
      <c r="O39" s="30" t="s">
        <v>608</v>
      </c>
      <c r="P39" s="30" t="s">
        <v>317</v>
      </c>
      <c r="Q39" s="30" t="s">
        <v>315</v>
      </c>
      <c r="R39" s="30" t="s">
        <v>725</v>
      </c>
      <c r="S39" s="30" t="s">
        <v>610</v>
      </c>
    </row>
    <row r="40" customFormat="false" ht="15" hidden="false" customHeight="false" outlineLevel="0" collapsed="false">
      <c r="A40" s="30" t="s">
        <v>726</v>
      </c>
      <c r="B40" s="30" t="s">
        <v>727</v>
      </c>
      <c r="C40" s="30" t="s">
        <v>631</v>
      </c>
      <c r="D40" s="30" t="s">
        <v>599</v>
      </c>
      <c r="E40" s="30" t="s">
        <v>632</v>
      </c>
      <c r="F40" s="30" t="s">
        <v>633</v>
      </c>
      <c r="G40" s="30" t="s">
        <v>602</v>
      </c>
      <c r="H40" s="30" t="s">
        <v>603</v>
      </c>
      <c r="I40" s="30" t="s">
        <v>586</v>
      </c>
      <c r="J40" s="30" t="s">
        <v>587</v>
      </c>
      <c r="K40" s="30" t="s">
        <v>604</v>
      </c>
      <c r="L40" s="30" t="s">
        <v>605</v>
      </c>
      <c r="M40" s="30" t="s">
        <v>620</v>
      </c>
      <c r="N40" s="30" t="s">
        <v>646</v>
      </c>
      <c r="O40" s="30" t="s">
        <v>608</v>
      </c>
      <c r="P40" s="30" t="s">
        <v>345</v>
      </c>
      <c r="Q40" s="30" t="s">
        <v>343</v>
      </c>
      <c r="R40" s="30" t="s">
        <v>728</v>
      </c>
      <c r="S40" s="30" t="s">
        <v>610</v>
      </c>
    </row>
    <row r="41" customFormat="false" ht="15" hidden="false" customHeight="false" outlineLevel="0" collapsed="false">
      <c r="A41" s="30" t="s">
        <v>729</v>
      </c>
      <c r="B41" s="30" t="s">
        <v>730</v>
      </c>
      <c r="C41" s="30" t="s">
        <v>616</v>
      </c>
      <c r="D41" s="30" t="s">
        <v>599</v>
      </c>
      <c r="E41" s="30" t="s">
        <v>617</v>
      </c>
      <c r="F41" s="30" t="s">
        <v>618</v>
      </c>
      <c r="G41" s="30" t="s">
        <v>602</v>
      </c>
      <c r="H41" s="30" t="s">
        <v>603</v>
      </c>
      <c r="I41" s="30" t="s">
        <v>586</v>
      </c>
      <c r="J41" s="30" t="s">
        <v>587</v>
      </c>
      <c r="K41" s="30" t="s">
        <v>604</v>
      </c>
      <c r="L41" s="30" t="s">
        <v>605</v>
      </c>
      <c r="M41" s="30" t="s">
        <v>645</v>
      </c>
      <c r="N41" s="30" t="s">
        <v>627</v>
      </c>
      <c r="O41" s="30" t="s">
        <v>641</v>
      </c>
      <c r="P41" s="30" t="s">
        <v>81</v>
      </c>
      <c r="Q41" s="30" t="s">
        <v>79</v>
      </c>
      <c r="R41" s="30" t="s">
        <v>731</v>
      </c>
      <c r="S41" s="30" t="s">
        <v>610</v>
      </c>
    </row>
    <row r="42" customFormat="false" ht="15" hidden="false" customHeight="false" outlineLevel="0" collapsed="false">
      <c r="A42" s="30" t="s">
        <v>732</v>
      </c>
      <c r="B42" s="30" t="s">
        <v>733</v>
      </c>
      <c r="C42" s="30" t="s">
        <v>598</v>
      </c>
      <c r="D42" s="30" t="s">
        <v>599</v>
      </c>
      <c r="E42" s="30" t="s">
        <v>600</v>
      </c>
      <c r="F42" s="30" t="s">
        <v>601</v>
      </c>
      <c r="G42" s="30" t="s">
        <v>602</v>
      </c>
      <c r="H42" s="30" t="s">
        <v>603</v>
      </c>
      <c r="I42" s="30" t="s">
        <v>586</v>
      </c>
      <c r="J42" s="30" t="s">
        <v>587</v>
      </c>
      <c r="K42" s="30" t="s">
        <v>604</v>
      </c>
      <c r="L42" s="30" t="s">
        <v>605</v>
      </c>
      <c r="M42" s="30" t="s">
        <v>606</v>
      </c>
      <c r="N42" s="30" t="s">
        <v>607</v>
      </c>
      <c r="O42" s="30" t="s">
        <v>608</v>
      </c>
      <c r="P42" s="30" t="s">
        <v>313</v>
      </c>
      <c r="Q42" s="30" t="s">
        <v>311</v>
      </c>
      <c r="R42" s="30" t="s">
        <v>734</v>
      </c>
      <c r="S42" s="30" t="s">
        <v>610</v>
      </c>
    </row>
    <row r="43" customFormat="false" ht="15" hidden="false" customHeight="false" outlineLevel="0" collapsed="false">
      <c r="A43" s="30" t="s">
        <v>735</v>
      </c>
      <c r="B43" s="30" t="s">
        <v>736</v>
      </c>
      <c r="C43" s="30" t="s">
        <v>616</v>
      </c>
      <c r="D43" s="30" t="s">
        <v>599</v>
      </c>
      <c r="E43" s="30" t="s">
        <v>617</v>
      </c>
      <c r="F43" s="30" t="s">
        <v>618</v>
      </c>
      <c r="G43" s="30" t="s">
        <v>602</v>
      </c>
      <c r="H43" s="30" t="s">
        <v>603</v>
      </c>
      <c r="I43" s="30" t="s">
        <v>586</v>
      </c>
      <c r="J43" s="30" t="s">
        <v>587</v>
      </c>
      <c r="K43" s="30" t="s">
        <v>604</v>
      </c>
      <c r="L43" s="30" t="s">
        <v>605</v>
      </c>
      <c r="M43" s="30" t="s">
        <v>620</v>
      </c>
      <c r="N43" s="30" t="s">
        <v>607</v>
      </c>
      <c r="O43" s="30" t="s">
        <v>608</v>
      </c>
      <c r="P43" s="30" t="s">
        <v>483</v>
      </c>
      <c r="Q43" s="30" t="s">
        <v>481</v>
      </c>
      <c r="R43" s="30" t="s">
        <v>737</v>
      </c>
      <c r="S43" s="30" t="s">
        <v>610</v>
      </c>
    </row>
    <row r="44" customFormat="false" ht="15" hidden="false" customHeight="false" outlineLevel="0" collapsed="false">
      <c r="A44" s="30" t="s">
        <v>738</v>
      </c>
      <c r="B44" s="30" t="s">
        <v>739</v>
      </c>
      <c r="C44" s="30" t="s">
        <v>631</v>
      </c>
      <c r="D44" s="30" t="s">
        <v>599</v>
      </c>
      <c r="E44" s="30" t="s">
        <v>632</v>
      </c>
      <c r="F44" s="30" t="s">
        <v>633</v>
      </c>
      <c r="G44" s="30" t="s">
        <v>602</v>
      </c>
      <c r="H44" s="30" t="s">
        <v>603</v>
      </c>
      <c r="I44" s="30" t="s">
        <v>586</v>
      </c>
      <c r="J44" s="30" t="s">
        <v>587</v>
      </c>
      <c r="K44" s="30" t="s">
        <v>604</v>
      </c>
      <c r="L44" s="30" t="s">
        <v>605</v>
      </c>
      <c r="M44" s="30" t="s">
        <v>620</v>
      </c>
      <c r="N44" s="30" t="s">
        <v>627</v>
      </c>
      <c r="O44" s="30" t="s">
        <v>15</v>
      </c>
      <c r="P44" s="30" t="s">
        <v>59</v>
      </c>
      <c r="Q44" s="30" t="s">
        <v>57</v>
      </c>
      <c r="R44" s="30" t="s">
        <v>740</v>
      </c>
      <c r="S44" s="30" t="s">
        <v>610</v>
      </c>
    </row>
    <row r="45" customFormat="false" ht="15" hidden="false" customHeight="false" outlineLevel="0" collapsed="false">
      <c r="A45" s="30" t="s">
        <v>741</v>
      </c>
      <c r="B45" s="30" t="s">
        <v>742</v>
      </c>
      <c r="C45" s="30" t="s">
        <v>598</v>
      </c>
      <c r="D45" s="30" t="s">
        <v>599</v>
      </c>
      <c r="E45" s="30" t="s">
        <v>600</v>
      </c>
      <c r="F45" s="30" t="s">
        <v>601</v>
      </c>
      <c r="G45" s="30" t="s">
        <v>602</v>
      </c>
      <c r="H45" s="30" t="s">
        <v>603</v>
      </c>
      <c r="I45" s="30" t="s">
        <v>586</v>
      </c>
      <c r="J45" s="30" t="s">
        <v>587</v>
      </c>
      <c r="K45" s="30" t="s">
        <v>604</v>
      </c>
      <c r="L45" s="30" t="s">
        <v>605</v>
      </c>
      <c r="M45" s="30" t="s">
        <v>645</v>
      </c>
      <c r="N45" s="30" t="s">
        <v>627</v>
      </c>
      <c r="O45" s="30" t="s">
        <v>608</v>
      </c>
      <c r="P45" s="30" t="s">
        <v>223</v>
      </c>
      <c r="Q45" s="30" t="s">
        <v>221</v>
      </c>
      <c r="R45" s="30" t="s">
        <v>743</v>
      </c>
      <c r="S45" s="30" t="s">
        <v>610</v>
      </c>
    </row>
    <row r="46" customFormat="false" ht="15" hidden="false" customHeight="false" outlineLevel="0" collapsed="false">
      <c r="A46" s="30" t="s">
        <v>744</v>
      </c>
      <c r="B46" s="30" t="s">
        <v>745</v>
      </c>
      <c r="C46" s="30" t="s">
        <v>631</v>
      </c>
      <c r="D46" s="30" t="s">
        <v>599</v>
      </c>
      <c r="E46" s="30" t="s">
        <v>632</v>
      </c>
      <c r="F46" s="30" t="s">
        <v>633</v>
      </c>
      <c r="G46" s="30" t="s">
        <v>602</v>
      </c>
      <c r="H46" s="30" t="s">
        <v>603</v>
      </c>
      <c r="I46" s="30" t="s">
        <v>586</v>
      </c>
      <c r="J46" s="30" t="s">
        <v>587</v>
      </c>
      <c r="K46" s="30" t="s">
        <v>604</v>
      </c>
      <c r="L46" s="30" t="s">
        <v>619</v>
      </c>
      <c r="M46" s="30" t="s">
        <v>645</v>
      </c>
      <c r="N46" s="30" t="s">
        <v>646</v>
      </c>
      <c r="O46" s="30" t="s">
        <v>15</v>
      </c>
      <c r="P46" s="30" t="s">
        <v>63</v>
      </c>
      <c r="Q46" s="30" t="s">
        <v>61</v>
      </c>
      <c r="R46" s="30" t="s">
        <v>746</v>
      </c>
      <c r="S46" s="30" t="s">
        <v>610</v>
      </c>
    </row>
    <row r="47" customFormat="false" ht="15" hidden="false" customHeight="false" outlineLevel="0" collapsed="false">
      <c r="A47" s="30" t="s">
        <v>747</v>
      </c>
      <c r="B47" s="30" t="s">
        <v>748</v>
      </c>
      <c r="C47" s="30" t="s">
        <v>598</v>
      </c>
      <c r="D47" s="30" t="s">
        <v>599</v>
      </c>
      <c r="E47" s="30" t="s">
        <v>600</v>
      </c>
      <c r="F47" s="30" t="s">
        <v>601</v>
      </c>
      <c r="G47" s="30" t="s">
        <v>602</v>
      </c>
      <c r="H47" s="30" t="s">
        <v>603</v>
      </c>
      <c r="I47" s="30" t="s">
        <v>586</v>
      </c>
      <c r="J47" s="30" t="s">
        <v>587</v>
      </c>
      <c r="K47" s="30" t="s">
        <v>604</v>
      </c>
      <c r="L47" s="30" t="s">
        <v>619</v>
      </c>
      <c r="M47" s="30" t="s">
        <v>645</v>
      </c>
      <c r="N47" s="30" t="s">
        <v>607</v>
      </c>
      <c r="O47" s="30" t="s">
        <v>608</v>
      </c>
      <c r="P47" s="30" t="s">
        <v>411</v>
      </c>
      <c r="Q47" s="30" t="s">
        <v>409</v>
      </c>
      <c r="R47" s="30" t="s">
        <v>749</v>
      </c>
      <c r="S47" s="30" t="s">
        <v>610</v>
      </c>
    </row>
    <row r="48" customFormat="false" ht="15" hidden="false" customHeight="false" outlineLevel="0" collapsed="false">
      <c r="A48" s="30" t="s">
        <v>750</v>
      </c>
      <c r="B48" s="30" t="s">
        <v>751</v>
      </c>
      <c r="C48" s="30" t="s">
        <v>631</v>
      </c>
      <c r="D48" s="30" t="s">
        <v>599</v>
      </c>
      <c r="E48" s="30" t="s">
        <v>632</v>
      </c>
      <c r="F48" s="30" t="s">
        <v>633</v>
      </c>
      <c r="G48" s="30" t="s">
        <v>602</v>
      </c>
      <c r="H48" s="30" t="s">
        <v>603</v>
      </c>
      <c r="I48" s="30" t="s">
        <v>586</v>
      </c>
      <c r="J48" s="30" t="s">
        <v>587</v>
      </c>
      <c r="K48" s="30" t="s">
        <v>604</v>
      </c>
      <c r="L48" s="30" t="s">
        <v>619</v>
      </c>
      <c r="M48" s="30" t="s">
        <v>645</v>
      </c>
      <c r="N48" s="30" t="s">
        <v>607</v>
      </c>
      <c r="O48" s="30" t="s">
        <v>608</v>
      </c>
      <c r="P48" s="30" t="s">
        <v>407</v>
      </c>
      <c r="Q48" s="30" t="s">
        <v>405</v>
      </c>
      <c r="R48" s="30" t="s">
        <v>752</v>
      </c>
      <c r="S48" s="30" t="s">
        <v>610</v>
      </c>
    </row>
    <row r="49" customFormat="false" ht="15" hidden="false" customHeight="false" outlineLevel="0" collapsed="false">
      <c r="A49" s="30" t="s">
        <v>753</v>
      </c>
      <c r="B49" s="30" t="s">
        <v>754</v>
      </c>
      <c r="C49" s="30" t="s">
        <v>631</v>
      </c>
      <c r="D49" s="30" t="s">
        <v>599</v>
      </c>
      <c r="E49" s="30" t="s">
        <v>632</v>
      </c>
      <c r="F49" s="30" t="s">
        <v>633</v>
      </c>
      <c r="G49" s="30" t="s">
        <v>602</v>
      </c>
      <c r="H49" s="30" t="s">
        <v>603</v>
      </c>
      <c r="I49" s="30" t="s">
        <v>586</v>
      </c>
      <c r="J49" s="30" t="s">
        <v>587</v>
      </c>
      <c r="K49" s="30" t="s">
        <v>604</v>
      </c>
      <c r="L49" s="30" t="s">
        <v>605</v>
      </c>
      <c r="M49" s="30" t="s">
        <v>640</v>
      </c>
      <c r="N49" s="30" t="s">
        <v>607</v>
      </c>
      <c r="O49" s="30" t="s">
        <v>608</v>
      </c>
      <c r="P49" s="30" t="s">
        <v>538</v>
      </c>
      <c r="Q49" s="30" t="s">
        <v>536</v>
      </c>
      <c r="R49" s="30" t="s">
        <v>755</v>
      </c>
      <c r="S49" s="30" t="s">
        <v>610</v>
      </c>
    </row>
    <row r="50" customFormat="false" ht="15" hidden="false" customHeight="false" outlineLevel="0" collapsed="false">
      <c r="A50" s="30" t="s">
        <v>756</v>
      </c>
      <c r="B50" s="30" t="s">
        <v>757</v>
      </c>
      <c r="C50" s="30" t="s">
        <v>631</v>
      </c>
      <c r="D50" s="30" t="s">
        <v>599</v>
      </c>
      <c r="E50" s="30" t="s">
        <v>632</v>
      </c>
      <c r="F50" s="30" t="s">
        <v>633</v>
      </c>
      <c r="G50" s="30" t="s">
        <v>602</v>
      </c>
      <c r="H50" s="30" t="s">
        <v>603</v>
      </c>
      <c r="I50" s="30" t="s">
        <v>586</v>
      </c>
      <c r="J50" s="30" t="s">
        <v>587</v>
      </c>
      <c r="K50" s="30" t="s">
        <v>604</v>
      </c>
      <c r="L50" s="30" t="s">
        <v>605</v>
      </c>
      <c r="M50" s="30" t="s">
        <v>620</v>
      </c>
      <c r="N50" s="30" t="s">
        <v>627</v>
      </c>
      <c r="O50" s="30" t="s">
        <v>608</v>
      </c>
      <c r="P50" s="30" t="s">
        <v>261</v>
      </c>
      <c r="Q50" s="30" t="s">
        <v>259</v>
      </c>
      <c r="R50" s="30" t="s">
        <v>758</v>
      </c>
      <c r="S50" s="30" t="s">
        <v>610</v>
      </c>
    </row>
    <row r="51" customFormat="false" ht="15" hidden="false" customHeight="false" outlineLevel="0" collapsed="false">
      <c r="A51" s="30" t="s">
        <v>759</v>
      </c>
      <c r="B51" s="30" t="s">
        <v>760</v>
      </c>
      <c r="C51" s="30" t="s">
        <v>598</v>
      </c>
      <c r="D51" s="30" t="s">
        <v>599</v>
      </c>
      <c r="E51" s="30" t="s">
        <v>600</v>
      </c>
      <c r="F51" s="30" t="s">
        <v>601</v>
      </c>
      <c r="G51" s="30" t="s">
        <v>602</v>
      </c>
      <c r="H51" s="30" t="s">
        <v>603</v>
      </c>
      <c r="I51" s="30" t="s">
        <v>586</v>
      </c>
      <c r="J51" s="30" t="s">
        <v>587</v>
      </c>
      <c r="K51" s="30" t="s">
        <v>604</v>
      </c>
      <c r="L51" s="30" t="s">
        <v>619</v>
      </c>
      <c r="M51" s="30" t="s">
        <v>606</v>
      </c>
      <c r="N51" s="30" t="s">
        <v>627</v>
      </c>
      <c r="O51" s="30" t="s">
        <v>15</v>
      </c>
      <c r="P51" s="30" t="s">
        <v>49</v>
      </c>
      <c r="Q51" s="30" t="s">
        <v>47</v>
      </c>
      <c r="R51" s="30" t="s">
        <v>761</v>
      </c>
      <c r="S51" s="30" t="s">
        <v>610</v>
      </c>
    </row>
    <row r="52" customFormat="false" ht="15" hidden="false" customHeight="false" outlineLevel="0" collapsed="false">
      <c r="A52" s="30" t="s">
        <v>762</v>
      </c>
      <c r="B52" s="30" t="s">
        <v>763</v>
      </c>
      <c r="C52" s="30" t="s">
        <v>616</v>
      </c>
      <c r="D52" s="30" t="s">
        <v>599</v>
      </c>
      <c r="E52" s="30" t="s">
        <v>617</v>
      </c>
      <c r="F52" s="30" t="s">
        <v>618</v>
      </c>
      <c r="G52" s="30" t="s">
        <v>602</v>
      </c>
      <c r="H52" s="30" t="s">
        <v>603</v>
      </c>
      <c r="I52" s="30" t="s">
        <v>586</v>
      </c>
      <c r="J52" s="30" t="s">
        <v>587</v>
      </c>
      <c r="K52" s="30" t="s">
        <v>604</v>
      </c>
      <c r="L52" s="30" t="s">
        <v>619</v>
      </c>
      <c r="M52" s="30" t="s">
        <v>640</v>
      </c>
      <c r="N52" s="30" t="s">
        <v>627</v>
      </c>
      <c r="O52" s="30" t="s">
        <v>608</v>
      </c>
      <c r="P52" s="30" t="s">
        <v>403</v>
      </c>
      <c r="Q52" s="30" t="s">
        <v>401</v>
      </c>
      <c r="R52" s="30" t="s">
        <v>764</v>
      </c>
      <c r="S52" s="30" t="s">
        <v>610</v>
      </c>
    </row>
    <row r="53" customFormat="false" ht="15" hidden="false" customHeight="false" outlineLevel="0" collapsed="false">
      <c r="A53" s="30" t="s">
        <v>765</v>
      </c>
      <c r="B53" s="30" t="s">
        <v>766</v>
      </c>
      <c r="C53" s="30" t="s">
        <v>616</v>
      </c>
      <c r="D53" s="30" t="s">
        <v>599</v>
      </c>
      <c r="E53" s="30" t="s">
        <v>617</v>
      </c>
      <c r="F53" s="30" t="s">
        <v>618</v>
      </c>
      <c r="G53" s="30" t="s">
        <v>602</v>
      </c>
      <c r="H53" s="30" t="s">
        <v>603</v>
      </c>
      <c r="I53" s="30" t="s">
        <v>586</v>
      </c>
      <c r="J53" s="30" t="s">
        <v>587</v>
      </c>
      <c r="K53" s="30" t="s">
        <v>604</v>
      </c>
      <c r="L53" s="30" t="s">
        <v>619</v>
      </c>
      <c r="M53" s="30" t="s">
        <v>606</v>
      </c>
      <c r="N53" s="30" t="s">
        <v>627</v>
      </c>
      <c r="O53" s="30" t="s">
        <v>641</v>
      </c>
      <c r="P53" s="30" t="s">
        <v>71</v>
      </c>
      <c r="Q53" s="30" t="s">
        <v>69</v>
      </c>
      <c r="R53" s="30" t="s">
        <v>675</v>
      </c>
      <c r="S53" s="30" t="s">
        <v>610</v>
      </c>
    </row>
    <row r="54" customFormat="false" ht="15" hidden="false" customHeight="false" outlineLevel="0" collapsed="false">
      <c r="A54" s="30" t="s">
        <v>767</v>
      </c>
      <c r="B54" s="30" t="s">
        <v>768</v>
      </c>
      <c r="C54" s="30" t="s">
        <v>616</v>
      </c>
      <c r="D54" s="30" t="s">
        <v>599</v>
      </c>
      <c r="E54" s="30" t="s">
        <v>617</v>
      </c>
      <c r="F54" s="30" t="s">
        <v>618</v>
      </c>
      <c r="G54" s="30" t="s">
        <v>602</v>
      </c>
      <c r="H54" s="30" t="s">
        <v>603</v>
      </c>
      <c r="I54" s="30" t="s">
        <v>586</v>
      </c>
      <c r="J54" s="30" t="s">
        <v>587</v>
      </c>
      <c r="K54" s="30" t="s">
        <v>604</v>
      </c>
      <c r="L54" s="30" t="s">
        <v>605</v>
      </c>
      <c r="M54" s="30" t="s">
        <v>640</v>
      </c>
      <c r="N54" s="30" t="s">
        <v>627</v>
      </c>
      <c r="O54" s="30" t="s">
        <v>608</v>
      </c>
      <c r="P54" s="30" t="s">
        <v>399</v>
      </c>
      <c r="Q54" s="30" t="s">
        <v>397</v>
      </c>
      <c r="R54" s="30" t="s">
        <v>769</v>
      </c>
      <c r="S54" s="30" t="s">
        <v>610</v>
      </c>
    </row>
    <row r="55" customFormat="false" ht="15" hidden="false" customHeight="false" outlineLevel="0" collapsed="false">
      <c r="A55" s="30" t="s">
        <v>770</v>
      </c>
      <c r="B55" s="30" t="s">
        <v>771</v>
      </c>
      <c r="C55" s="30" t="s">
        <v>631</v>
      </c>
      <c r="D55" s="30" t="s">
        <v>599</v>
      </c>
      <c r="E55" s="30" t="s">
        <v>632</v>
      </c>
      <c r="F55" s="30" t="s">
        <v>633</v>
      </c>
      <c r="G55" s="30" t="s">
        <v>602</v>
      </c>
      <c r="H55" s="30" t="s">
        <v>603</v>
      </c>
      <c r="I55" s="30" t="s">
        <v>586</v>
      </c>
      <c r="J55" s="30" t="s">
        <v>587</v>
      </c>
      <c r="K55" s="30" t="s">
        <v>604</v>
      </c>
      <c r="L55" s="30" t="s">
        <v>619</v>
      </c>
      <c r="M55" s="30" t="s">
        <v>640</v>
      </c>
      <c r="N55" s="30" t="s">
        <v>627</v>
      </c>
      <c r="O55" s="30" t="s">
        <v>641</v>
      </c>
      <c r="P55" s="30" t="s">
        <v>158</v>
      </c>
      <c r="Q55" s="30" t="s">
        <v>156</v>
      </c>
      <c r="R55" s="30" t="s">
        <v>772</v>
      </c>
      <c r="S55" s="30" t="s">
        <v>610</v>
      </c>
    </row>
    <row r="56" customFormat="false" ht="15" hidden="false" customHeight="false" outlineLevel="0" collapsed="false">
      <c r="A56" s="30" t="s">
        <v>773</v>
      </c>
      <c r="B56" s="30" t="s">
        <v>774</v>
      </c>
      <c r="C56" s="30" t="s">
        <v>616</v>
      </c>
      <c r="D56" s="30" t="s">
        <v>599</v>
      </c>
      <c r="E56" s="30" t="s">
        <v>617</v>
      </c>
      <c r="F56" s="30" t="s">
        <v>618</v>
      </c>
      <c r="G56" s="30" t="s">
        <v>602</v>
      </c>
      <c r="H56" s="30" t="s">
        <v>603</v>
      </c>
      <c r="I56" s="30" t="s">
        <v>586</v>
      </c>
      <c r="J56" s="30" t="s">
        <v>587</v>
      </c>
      <c r="K56" s="30" t="s">
        <v>604</v>
      </c>
      <c r="L56" s="30" t="s">
        <v>605</v>
      </c>
      <c r="M56" s="30" t="s">
        <v>645</v>
      </c>
      <c r="N56" s="30" t="s">
        <v>607</v>
      </c>
      <c r="O56" s="30" t="s">
        <v>608</v>
      </c>
      <c r="P56" s="30" t="s">
        <v>394</v>
      </c>
      <c r="Q56" s="30" t="s">
        <v>392</v>
      </c>
      <c r="R56" s="30" t="s">
        <v>775</v>
      </c>
      <c r="S56" s="30" t="s">
        <v>610</v>
      </c>
    </row>
    <row r="57" customFormat="false" ht="15" hidden="false" customHeight="false" outlineLevel="0" collapsed="false">
      <c r="A57" s="30" t="s">
        <v>776</v>
      </c>
      <c r="B57" s="30" t="s">
        <v>777</v>
      </c>
      <c r="C57" s="30" t="s">
        <v>598</v>
      </c>
      <c r="D57" s="30" t="s">
        <v>599</v>
      </c>
      <c r="E57" s="30" t="s">
        <v>600</v>
      </c>
      <c r="F57" s="30" t="s">
        <v>601</v>
      </c>
      <c r="G57" s="30" t="s">
        <v>602</v>
      </c>
      <c r="H57" s="30" t="s">
        <v>603</v>
      </c>
      <c r="I57" s="30" t="s">
        <v>586</v>
      </c>
      <c r="J57" s="30" t="s">
        <v>587</v>
      </c>
      <c r="K57" s="30" t="s">
        <v>604</v>
      </c>
      <c r="L57" s="30" t="s">
        <v>605</v>
      </c>
      <c r="M57" s="30" t="s">
        <v>645</v>
      </c>
      <c r="N57" s="30" t="s">
        <v>627</v>
      </c>
      <c r="O57" s="30" t="s">
        <v>608</v>
      </c>
      <c r="P57" s="30" t="s">
        <v>220</v>
      </c>
      <c r="Q57" s="30" t="s">
        <v>218</v>
      </c>
      <c r="R57" s="30" t="s">
        <v>778</v>
      </c>
      <c r="S57" s="30" t="s">
        <v>610</v>
      </c>
    </row>
    <row r="58" customFormat="false" ht="15" hidden="false" customHeight="false" outlineLevel="0" collapsed="false">
      <c r="A58" s="30" t="s">
        <v>779</v>
      </c>
      <c r="B58" s="30" t="s">
        <v>780</v>
      </c>
      <c r="C58" s="30" t="s">
        <v>598</v>
      </c>
      <c r="D58" s="30" t="s">
        <v>599</v>
      </c>
      <c r="E58" s="30" t="s">
        <v>600</v>
      </c>
      <c r="F58" s="30" t="s">
        <v>601</v>
      </c>
      <c r="G58" s="30" t="s">
        <v>602</v>
      </c>
      <c r="H58" s="30" t="s">
        <v>603</v>
      </c>
      <c r="I58" s="30" t="s">
        <v>586</v>
      </c>
      <c r="J58" s="30" t="s">
        <v>587</v>
      </c>
      <c r="K58" s="30" t="s">
        <v>604</v>
      </c>
      <c r="L58" s="30" t="s">
        <v>619</v>
      </c>
      <c r="M58" s="30" t="s">
        <v>640</v>
      </c>
      <c r="N58" s="30" t="s">
        <v>627</v>
      </c>
      <c r="O58" s="30" t="s">
        <v>641</v>
      </c>
      <c r="P58" s="30" t="s">
        <v>154</v>
      </c>
      <c r="Q58" s="30" t="s">
        <v>152</v>
      </c>
      <c r="R58" s="30" t="s">
        <v>781</v>
      </c>
      <c r="S58" s="30" t="s">
        <v>610</v>
      </c>
    </row>
    <row r="59" customFormat="false" ht="15" hidden="false" customHeight="false" outlineLevel="0" collapsed="false">
      <c r="A59" s="30" t="s">
        <v>782</v>
      </c>
      <c r="B59" s="30" t="s">
        <v>783</v>
      </c>
      <c r="C59" s="30" t="s">
        <v>616</v>
      </c>
      <c r="D59" s="30" t="s">
        <v>599</v>
      </c>
      <c r="E59" s="30" t="s">
        <v>617</v>
      </c>
      <c r="F59" s="30" t="s">
        <v>618</v>
      </c>
      <c r="G59" s="30" t="s">
        <v>602</v>
      </c>
      <c r="H59" s="30" t="s">
        <v>603</v>
      </c>
      <c r="I59" s="30" t="s">
        <v>586</v>
      </c>
      <c r="J59" s="30" t="s">
        <v>587</v>
      </c>
      <c r="K59" s="30" t="s">
        <v>604</v>
      </c>
      <c r="L59" s="30" t="s">
        <v>605</v>
      </c>
      <c r="M59" s="30" t="s">
        <v>640</v>
      </c>
      <c r="N59" s="30" t="s">
        <v>627</v>
      </c>
      <c r="O59" s="30" t="s">
        <v>608</v>
      </c>
      <c r="P59" s="30" t="s">
        <v>390</v>
      </c>
      <c r="Q59" s="30" t="s">
        <v>388</v>
      </c>
      <c r="R59" s="30" t="s">
        <v>784</v>
      </c>
      <c r="S59" s="30" t="s">
        <v>610</v>
      </c>
    </row>
    <row r="60" customFormat="false" ht="15" hidden="false" customHeight="false" outlineLevel="0" collapsed="false">
      <c r="A60" s="30" t="s">
        <v>785</v>
      </c>
      <c r="B60" s="30" t="s">
        <v>786</v>
      </c>
      <c r="C60" s="30" t="s">
        <v>616</v>
      </c>
      <c r="D60" s="30" t="s">
        <v>599</v>
      </c>
      <c r="E60" s="30" t="s">
        <v>617</v>
      </c>
      <c r="F60" s="30" t="s">
        <v>618</v>
      </c>
      <c r="G60" s="30" t="s">
        <v>602</v>
      </c>
      <c r="H60" s="30" t="s">
        <v>603</v>
      </c>
      <c r="I60" s="30" t="s">
        <v>586</v>
      </c>
      <c r="J60" s="30" t="s">
        <v>587</v>
      </c>
      <c r="K60" s="30" t="s">
        <v>604</v>
      </c>
      <c r="L60" s="30" t="s">
        <v>605</v>
      </c>
      <c r="M60" s="30" t="s">
        <v>645</v>
      </c>
      <c r="N60" s="30" t="s">
        <v>627</v>
      </c>
      <c r="O60" s="30" t="s">
        <v>608</v>
      </c>
      <c r="P60" s="30" t="s">
        <v>216</v>
      </c>
      <c r="Q60" s="30" t="s">
        <v>214</v>
      </c>
      <c r="R60" s="30" t="s">
        <v>787</v>
      </c>
      <c r="S60" s="30" t="s">
        <v>610</v>
      </c>
    </row>
    <row r="61" customFormat="false" ht="15" hidden="false" customHeight="false" outlineLevel="0" collapsed="false">
      <c r="A61" s="30" t="s">
        <v>788</v>
      </c>
      <c r="B61" s="30" t="s">
        <v>789</v>
      </c>
      <c r="C61" s="30" t="s">
        <v>598</v>
      </c>
      <c r="D61" s="30" t="s">
        <v>599</v>
      </c>
      <c r="E61" s="30" t="s">
        <v>600</v>
      </c>
      <c r="F61" s="30" t="s">
        <v>601</v>
      </c>
      <c r="G61" s="30" t="s">
        <v>602</v>
      </c>
      <c r="H61" s="30" t="s">
        <v>603</v>
      </c>
      <c r="I61" s="30" t="s">
        <v>586</v>
      </c>
      <c r="J61" s="30" t="s">
        <v>587</v>
      </c>
      <c r="K61" s="30" t="s">
        <v>604</v>
      </c>
      <c r="L61" s="30" t="s">
        <v>605</v>
      </c>
      <c r="M61" s="30" t="s">
        <v>606</v>
      </c>
      <c r="N61" s="30" t="s">
        <v>646</v>
      </c>
      <c r="O61" s="30" t="s">
        <v>15</v>
      </c>
      <c r="P61" s="30" t="s">
        <v>54</v>
      </c>
      <c r="Q61" s="30" t="s">
        <v>52</v>
      </c>
      <c r="R61" s="30" t="s">
        <v>790</v>
      </c>
      <c r="S61" s="30" t="s">
        <v>610</v>
      </c>
    </row>
    <row r="62" customFormat="false" ht="15" hidden="false" customHeight="false" outlineLevel="0" collapsed="false">
      <c r="A62" s="30" t="s">
        <v>791</v>
      </c>
      <c r="B62" s="30" t="s">
        <v>792</v>
      </c>
      <c r="C62" s="30" t="s">
        <v>631</v>
      </c>
      <c r="D62" s="30" t="s">
        <v>599</v>
      </c>
      <c r="E62" s="30" t="s">
        <v>632</v>
      </c>
      <c r="F62" s="30" t="s">
        <v>633</v>
      </c>
      <c r="G62" s="30" t="s">
        <v>602</v>
      </c>
      <c r="H62" s="30" t="s">
        <v>603</v>
      </c>
      <c r="I62" s="30" t="s">
        <v>586</v>
      </c>
      <c r="J62" s="30" t="s">
        <v>587</v>
      </c>
      <c r="K62" s="30" t="s">
        <v>604</v>
      </c>
      <c r="L62" s="30" t="s">
        <v>605</v>
      </c>
      <c r="M62" s="30" t="s">
        <v>640</v>
      </c>
      <c r="N62" s="30" t="s">
        <v>646</v>
      </c>
      <c r="O62" s="30" t="s">
        <v>608</v>
      </c>
      <c r="P62" s="30" t="s">
        <v>506</v>
      </c>
      <c r="Q62" s="30" t="s">
        <v>504</v>
      </c>
      <c r="R62" s="30" t="s">
        <v>793</v>
      </c>
      <c r="S62" s="30" t="s">
        <v>610</v>
      </c>
    </row>
    <row r="63" customFormat="false" ht="15" hidden="false" customHeight="false" outlineLevel="0" collapsed="false">
      <c r="A63" s="30" t="s">
        <v>794</v>
      </c>
      <c r="B63" s="30" t="s">
        <v>795</v>
      </c>
      <c r="C63" s="30" t="s">
        <v>598</v>
      </c>
      <c r="D63" s="30" t="s">
        <v>599</v>
      </c>
      <c r="E63" s="30" t="s">
        <v>600</v>
      </c>
      <c r="F63" s="30" t="s">
        <v>601</v>
      </c>
      <c r="G63" s="30" t="s">
        <v>602</v>
      </c>
      <c r="H63" s="30" t="s">
        <v>603</v>
      </c>
      <c r="I63" s="30" t="s">
        <v>586</v>
      </c>
      <c r="J63" s="30" t="s">
        <v>587</v>
      </c>
      <c r="K63" s="30" t="s">
        <v>604</v>
      </c>
      <c r="L63" s="30" t="s">
        <v>619</v>
      </c>
      <c r="M63" s="30" t="s">
        <v>620</v>
      </c>
      <c r="N63" s="30" t="s">
        <v>627</v>
      </c>
      <c r="O63" s="30" t="s">
        <v>608</v>
      </c>
      <c r="P63" s="30" t="s">
        <v>257</v>
      </c>
      <c r="Q63" s="30" t="s">
        <v>255</v>
      </c>
      <c r="R63" s="30" t="s">
        <v>796</v>
      </c>
      <c r="S63" s="30" t="s">
        <v>610</v>
      </c>
    </row>
    <row r="64" customFormat="false" ht="15" hidden="false" customHeight="false" outlineLevel="0" collapsed="false">
      <c r="A64" s="30" t="s">
        <v>797</v>
      </c>
      <c r="B64" s="30" t="s">
        <v>798</v>
      </c>
      <c r="C64" s="30" t="s">
        <v>598</v>
      </c>
      <c r="D64" s="30" t="s">
        <v>599</v>
      </c>
      <c r="E64" s="30" t="s">
        <v>600</v>
      </c>
      <c r="F64" s="30" t="s">
        <v>601</v>
      </c>
      <c r="G64" s="30" t="s">
        <v>602</v>
      </c>
      <c r="H64" s="30" t="s">
        <v>603</v>
      </c>
      <c r="I64" s="30" t="s">
        <v>586</v>
      </c>
      <c r="J64" s="30" t="s">
        <v>587</v>
      </c>
      <c r="K64" s="30" t="s">
        <v>604</v>
      </c>
      <c r="L64" s="30" t="s">
        <v>605</v>
      </c>
      <c r="M64" s="30" t="s">
        <v>606</v>
      </c>
      <c r="N64" s="30" t="s">
        <v>627</v>
      </c>
      <c r="O64" s="30" t="s">
        <v>15</v>
      </c>
      <c r="P64" s="30" t="s">
        <v>46</v>
      </c>
      <c r="Q64" s="30" t="s">
        <v>44</v>
      </c>
      <c r="R64" s="30" t="s">
        <v>799</v>
      </c>
      <c r="S64" s="30" t="s">
        <v>610</v>
      </c>
    </row>
    <row r="65" customFormat="false" ht="15" hidden="false" customHeight="false" outlineLevel="0" collapsed="false">
      <c r="A65" s="30" t="s">
        <v>800</v>
      </c>
      <c r="B65" s="30" t="s">
        <v>801</v>
      </c>
      <c r="C65" s="30" t="s">
        <v>631</v>
      </c>
      <c r="D65" s="30" t="s">
        <v>599</v>
      </c>
      <c r="E65" s="30" t="s">
        <v>632</v>
      </c>
      <c r="F65" s="30" t="s">
        <v>633</v>
      </c>
      <c r="G65" s="30" t="s">
        <v>602</v>
      </c>
      <c r="H65" s="30" t="s">
        <v>603</v>
      </c>
      <c r="I65" s="30" t="s">
        <v>586</v>
      </c>
      <c r="J65" s="30" t="s">
        <v>587</v>
      </c>
      <c r="K65" s="30" t="s">
        <v>604</v>
      </c>
      <c r="L65" s="30" t="s">
        <v>605</v>
      </c>
      <c r="M65" s="30" t="s">
        <v>640</v>
      </c>
      <c r="N65" s="30" t="s">
        <v>607</v>
      </c>
      <c r="O65" s="30" t="s">
        <v>608</v>
      </c>
      <c r="P65" s="30" t="s">
        <v>534</v>
      </c>
      <c r="Q65" s="30" t="s">
        <v>532</v>
      </c>
      <c r="R65" s="30" t="s">
        <v>802</v>
      </c>
      <c r="S65" s="30" t="s">
        <v>610</v>
      </c>
    </row>
    <row r="66" customFormat="false" ht="15" hidden="false" customHeight="false" outlineLevel="0" collapsed="false">
      <c r="A66" s="30" t="s">
        <v>803</v>
      </c>
      <c r="B66" s="30" t="s">
        <v>804</v>
      </c>
      <c r="C66" s="30" t="s">
        <v>598</v>
      </c>
      <c r="D66" s="30" t="s">
        <v>599</v>
      </c>
      <c r="E66" s="30" t="s">
        <v>600</v>
      </c>
      <c r="F66" s="30" t="s">
        <v>601</v>
      </c>
      <c r="G66" s="30" t="s">
        <v>602</v>
      </c>
      <c r="H66" s="30" t="s">
        <v>603</v>
      </c>
      <c r="I66" s="30" t="s">
        <v>586</v>
      </c>
      <c r="J66" s="30" t="s">
        <v>587</v>
      </c>
      <c r="K66" s="30" t="s">
        <v>604</v>
      </c>
      <c r="L66" s="30" t="s">
        <v>619</v>
      </c>
      <c r="M66" s="30" t="s">
        <v>620</v>
      </c>
      <c r="N66" s="30" t="s">
        <v>646</v>
      </c>
      <c r="O66" s="30" t="s">
        <v>608</v>
      </c>
      <c r="P66" s="30" t="s">
        <v>340</v>
      </c>
      <c r="Q66" s="30" t="s">
        <v>338</v>
      </c>
      <c r="R66" s="30" t="s">
        <v>805</v>
      </c>
      <c r="S66" s="30" t="s">
        <v>610</v>
      </c>
    </row>
    <row r="67" customFormat="false" ht="15" hidden="false" customHeight="false" outlineLevel="0" collapsed="false">
      <c r="A67" s="30" t="s">
        <v>806</v>
      </c>
      <c r="B67" s="30" t="s">
        <v>807</v>
      </c>
      <c r="C67" s="30" t="s">
        <v>616</v>
      </c>
      <c r="D67" s="30" t="s">
        <v>599</v>
      </c>
      <c r="E67" s="30" t="s">
        <v>617</v>
      </c>
      <c r="F67" s="30" t="s">
        <v>618</v>
      </c>
      <c r="G67" s="30" t="s">
        <v>602</v>
      </c>
      <c r="H67" s="30" t="s">
        <v>603</v>
      </c>
      <c r="I67" s="30" t="s">
        <v>586</v>
      </c>
      <c r="J67" s="30" t="s">
        <v>587</v>
      </c>
      <c r="K67" s="30" t="s">
        <v>604</v>
      </c>
      <c r="L67" s="30" t="s">
        <v>619</v>
      </c>
      <c r="M67" s="30" t="s">
        <v>620</v>
      </c>
      <c r="N67" s="30" t="s">
        <v>627</v>
      </c>
      <c r="O67" s="30" t="s">
        <v>608</v>
      </c>
      <c r="P67" s="30" t="s">
        <v>253</v>
      </c>
      <c r="Q67" s="30" t="s">
        <v>251</v>
      </c>
      <c r="R67" s="30" t="s">
        <v>808</v>
      </c>
      <c r="S67" s="30" t="s">
        <v>610</v>
      </c>
    </row>
    <row r="68" customFormat="false" ht="15" hidden="false" customHeight="false" outlineLevel="0" collapsed="false">
      <c r="A68" s="30" t="s">
        <v>809</v>
      </c>
      <c r="B68" s="30" t="s">
        <v>810</v>
      </c>
      <c r="C68" s="30" t="s">
        <v>631</v>
      </c>
      <c r="D68" s="30" t="s">
        <v>599</v>
      </c>
      <c r="E68" s="30" t="s">
        <v>632</v>
      </c>
      <c r="F68" s="30" t="s">
        <v>633</v>
      </c>
      <c r="G68" s="30" t="s">
        <v>602</v>
      </c>
      <c r="H68" s="30" t="s">
        <v>603</v>
      </c>
      <c r="I68" s="30" t="s">
        <v>586</v>
      </c>
      <c r="J68" s="30" t="s">
        <v>587</v>
      </c>
      <c r="K68" s="30" t="s">
        <v>604</v>
      </c>
      <c r="L68" s="30" t="s">
        <v>605</v>
      </c>
      <c r="M68" s="30" t="s">
        <v>620</v>
      </c>
      <c r="N68" s="30" t="s">
        <v>627</v>
      </c>
      <c r="O68" s="30" t="s">
        <v>608</v>
      </c>
      <c r="P68" s="30" t="s">
        <v>249</v>
      </c>
      <c r="Q68" s="30" t="s">
        <v>247</v>
      </c>
      <c r="R68" s="30" t="s">
        <v>811</v>
      </c>
      <c r="S68" s="30" t="s">
        <v>610</v>
      </c>
    </row>
    <row r="69" customFormat="false" ht="15" hidden="false" customHeight="false" outlineLevel="0" collapsed="false">
      <c r="A69" s="30" t="s">
        <v>812</v>
      </c>
      <c r="B69" s="30" t="s">
        <v>813</v>
      </c>
      <c r="C69" s="30" t="s">
        <v>598</v>
      </c>
      <c r="D69" s="30" t="s">
        <v>599</v>
      </c>
      <c r="E69" s="30" t="s">
        <v>600</v>
      </c>
      <c r="F69" s="30" t="s">
        <v>601</v>
      </c>
      <c r="G69" s="30" t="s">
        <v>602</v>
      </c>
      <c r="H69" s="30" t="s">
        <v>603</v>
      </c>
      <c r="I69" s="30" t="s">
        <v>586</v>
      </c>
      <c r="J69" s="30" t="s">
        <v>587</v>
      </c>
      <c r="K69" s="30" t="s">
        <v>604</v>
      </c>
      <c r="L69" s="30" t="s">
        <v>619</v>
      </c>
      <c r="M69" s="30" t="s">
        <v>640</v>
      </c>
      <c r="N69" s="30" t="s">
        <v>627</v>
      </c>
      <c r="O69" s="30" t="s">
        <v>608</v>
      </c>
      <c r="P69" s="30" t="s">
        <v>386</v>
      </c>
      <c r="Q69" s="30" t="s">
        <v>384</v>
      </c>
      <c r="R69" s="30" t="s">
        <v>814</v>
      </c>
      <c r="S69" s="30" t="s">
        <v>610</v>
      </c>
    </row>
    <row r="70" customFormat="false" ht="15" hidden="false" customHeight="false" outlineLevel="0" collapsed="false">
      <c r="A70" s="30" t="s">
        <v>815</v>
      </c>
      <c r="B70" s="30" t="s">
        <v>816</v>
      </c>
      <c r="C70" s="30" t="s">
        <v>598</v>
      </c>
      <c r="D70" s="30" t="s">
        <v>599</v>
      </c>
      <c r="E70" s="30" t="s">
        <v>600</v>
      </c>
      <c r="F70" s="30" t="s">
        <v>601</v>
      </c>
      <c r="G70" s="30" t="s">
        <v>602</v>
      </c>
      <c r="H70" s="30" t="s">
        <v>603</v>
      </c>
      <c r="I70" s="30" t="s">
        <v>586</v>
      </c>
      <c r="J70" s="30" t="s">
        <v>587</v>
      </c>
      <c r="K70" s="30" t="s">
        <v>604</v>
      </c>
      <c r="L70" s="30" t="s">
        <v>605</v>
      </c>
      <c r="M70" s="30" t="s">
        <v>645</v>
      </c>
      <c r="N70" s="30" t="s">
        <v>627</v>
      </c>
      <c r="O70" s="30" t="s">
        <v>608</v>
      </c>
      <c r="P70" s="30" t="s">
        <v>212</v>
      </c>
      <c r="Q70" s="30" t="s">
        <v>210</v>
      </c>
      <c r="R70" s="30" t="s">
        <v>817</v>
      </c>
      <c r="S70" s="30" t="s">
        <v>610</v>
      </c>
    </row>
    <row r="71" customFormat="false" ht="15" hidden="false" customHeight="false" outlineLevel="0" collapsed="false">
      <c r="A71" s="30" t="s">
        <v>818</v>
      </c>
      <c r="B71" s="30" t="s">
        <v>819</v>
      </c>
      <c r="C71" s="30" t="s">
        <v>631</v>
      </c>
      <c r="D71" s="30" t="s">
        <v>599</v>
      </c>
      <c r="E71" s="30" t="s">
        <v>632</v>
      </c>
      <c r="F71" s="30" t="s">
        <v>633</v>
      </c>
      <c r="G71" s="30" t="s">
        <v>602</v>
      </c>
      <c r="H71" s="30" t="s">
        <v>603</v>
      </c>
      <c r="I71" s="30" t="s">
        <v>586</v>
      </c>
      <c r="J71" s="30" t="s">
        <v>587</v>
      </c>
      <c r="K71" s="30" t="s">
        <v>604</v>
      </c>
      <c r="L71" s="30" t="s">
        <v>619</v>
      </c>
      <c r="M71" s="30" t="s">
        <v>640</v>
      </c>
      <c r="N71" s="30" t="s">
        <v>627</v>
      </c>
      <c r="O71" s="30" t="s">
        <v>641</v>
      </c>
      <c r="P71" s="30" t="s">
        <v>150</v>
      </c>
      <c r="Q71" s="30" t="s">
        <v>148</v>
      </c>
      <c r="R71" s="30" t="s">
        <v>820</v>
      </c>
      <c r="S71" s="30" t="s">
        <v>610</v>
      </c>
    </row>
    <row r="72" customFormat="false" ht="15" hidden="false" customHeight="false" outlineLevel="0" collapsed="false">
      <c r="A72" s="30" t="s">
        <v>821</v>
      </c>
      <c r="B72" s="30" t="s">
        <v>822</v>
      </c>
      <c r="C72" s="30" t="s">
        <v>616</v>
      </c>
      <c r="D72" s="30" t="s">
        <v>599</v>
      </c>
      <c r="E72" s="30" t="s">
        <v>617</v>
      </c>
      <c r="F72" s="30" t="s">
        <v>618</v>
      </c>
      <c r="G72" s="30" t="s">
        <v>602</v>
      </c>
      <c r="H72" s="30" t="s">
        <v>603</v>
      </c>
      <c r="I72" s="30" t="s">
        <v>586</v>
      </c>
      <c r="J72" s="30" t="s">
        <v>587</v>
      </c>
      <c r="K72" s="30" t="s">
        <v>604</v>
      </c>
      <c r="L72" s="30" t="s">
        <v>619</v>
      </c>
      <c r="M72" s="30" t="s">
        <v>606</v>
      </c>
      <c r="N72" s="30" t="s">
        <v>607</v>
      </c>
      <c r="O72" s="30" t="s">
        <v>608</v>
      </c>
      <c r="P72" s="30" t="s">
        <v>308</v>
      </c>
      <c r="Q72" s="30" t="s">
        <v>306</v>
      </c>
      <c r="R72" s="30" t="s">
        <v>823</v>
      </c>
      <c r="S72" s="30" t="s">
        <v>610</v>
      </c>
    </row>
    <row r="73" customFormat="false" ht="15" hidden="false" customHeight="false" outlineLevel="0" collapsed="false">
      <c r="A73" s="30" t="s">
        <v>824</v>
      </c>
      <c r="B73" s="30" t="s">
        <v>825</v>
      </c>
      <c r="C73" s="30" t="s">
        <v>631</v>
      </c>
      <c r="D73" s="30" t="s">
        <v>599</v>
      </c>
      <c r="E73" s="30" t="s">
        <v>632</v>
      </c>
      <c r="F73" s="30" t="s">
        <v>633</v>
      </c>
      <c r="G73" s="30" t="s">
        <v>602</v>
      </c>
      <c r="H73" s="30" t="s">
        <v>603</v>
      </c>
      <c r="I73" s="30" t="s">
        <v>586</v>
      </c>
      <c r="J73" s="30" t="s">
        <v>587</v>
      </c>
      <c r="K73" s="30" t="s">
        <v>604</v>
      </c>
      <c r="L73" s="30" t="s">
        <v>605</v>
      </c>
      <c r="M73" s="30" t="s">
        <v>640</v>
      </c>
      <c r="N73" s="30" t="s">
        <v>607</v>
      </c>
      <c r="O73" s="30" t="s">
        <v>641</v>
      </c>
      <c r="P73" s="30" t="s">
        <v>304</v>
      </c>
      <c r="Q73" s="30" t="s">
        <v>302</v>
      </c>
      <c r="R73" s="30" t="s">
        <v>826</v>
      </c>
      <c r="S73" s="30" t="s">
        <v>610</v>
      </c>
    </row>
    <row r="74" customFormat="false" ht="15" hidden="false" customHeight="false" outlineLevel="0" collapsed="false">
      <c r="A74" s="30" t="s">
        <v>827</v>
      </c>
      <c r="B74" s="30" t="s">
        <v>828</v>
      </c>
      <c r="C74" s="30" t="s">
        <v>598</v>
      </c>
      <c r="D74" s="30" t="s">
        <v>599</v>
      </c>
      <c r="E74" s="30" t="s">
        <v>600</v>
      </c>
      <c r="F74" s="30" t="s">
        <v>601</v>
      </c>
      <c r="G74" s="30" t="s">
        <v>602</v>
      </c>
      <c r="H74" s="30" t="s">
        <v>603</v>
      </c>
      <c r="I74" s="30" t="s">
        <v>586</v>
      </c>
      <c r="J74" s="30" t="s">
        <v>587</v>
      </c>
      <c r="K74" s="30" t="s">
        <v>604</v>
      </c>
      <c r="L74" s="30" t="s">
        <v>619</v>
      </c>
      <c r="M74" s="30" t="s">
        <v>606</v>
      </c>
      <c r="N74" s="30" t="s">
        <v>627</v>
      </c>
      <c r="O74" s="30" t="s">
        <v>15</v>
      </c>
      <c r="P74" s="30" t="s">
        <v>43</v>
      </c>
      <c r="Q74" s="30" t="s">
        <v>41</v>
      </c>
      <c r="R74" s="30" t="s">
        <v>829</v>
      </c>
      <c r="S74" s="30" t="s">
        <v>610</v>
      </c>
    </row>
    <row r="75" customFormat="false" ht="15" hidden="false" customHeight="false" outlineLevel="0" collapsed="false">
      <c r="A75" s="30" t="s">
        <v>830</v>
      </c>
      <c r="B75" s="30" t="s">
        <v>831</v>
      </c>
      <c r="C75" s="30" t="s">
        <v>598</v>
      </c>
      <c r="D75" s="30" t="s">
        <v>599</v>
      </c>
      <c r="E75" s="30" t="s">
        <v>600</v>
      </c>
      <c r="F75" s="30" t="s">
        <v>601</v>
      </c>
      <c r="G75" s="30" t="s">
        <v>602</v>
      </c>
      <c r="H75" s="30" t="s">
        <v>603</v>
      </c>
      <c r="I75" s="30" t="s">
        <v>586</v>
      </c>
      <c r="J75" s="30" t="s">
        <v>587</v>
      </c>
      <c r="K75" s="30" t="s">
        <v>604</v>
      </c>
      <c r="L75" s="30" t="s">
        <v>619</v>
      </c>
      <c r="M75" s="30" t="s">
        <v>620</v>
      </c>
      <c r="N75" s="30" t="s">
        <v>627</v>
      </c>
      <c r="O75" s="30" t="s">
        <v>608</v>
      </c>
      <c r="P75" s="30" t="s">
        <v>245</v>
      </c>
      <c r="Q75" s="30" t="s">
        <v>243</v>
      </c>
      <c r="R75" s="30" t="s">
        <v>832</v>
      </c>
      <c r="S75" s="30" t="s">
        <v>610</v>
      </c>
    </row>
    <row r="76" customFormat="false" ht="15" hidden="false" customHeight="false" outlineLevel="0" collapsed="false">
      <c r="A76" s="30" t="s">
        <v>833</v>
      </c>
      <c r="B76" s="30" t="s">
        <v>834</v>
      </c>
      <c r="C76" s="30" t="s">
        <v>616</v>
      </c>
      <c r="D76" s="30" t="s">
        <v>599</v>
      </c>
      <c r="E76" s="30" t="s">
        <v>617</v>
      </c>
      <c r="F76" s="30" t="s">
        <v>618</v>
      </c>
      <c r="G76" s="30" t="s">
        <v>602</v>
      </c>
      <c r="H76" s="30" t="s">
        <v>603</v>
      </c>
      <c r="I76" s="30" t="s">
        <v>586</v>
      </c>
      <c r="J76" s="30" t="s">
        <v>587</v>
      </c>
      <c r="K76" s="30" t="s">
        <v>604</v>
      </c>
      <c r="L76" s="30" t="s">
        <v>619</v>
      </c>
      <c r="M76" s="30" t="s">
        <v>640</v>
      </c>
      <c r="N76" s="30" t="s">
        <v>627</v>
      </c>
      <c r="O76" s="30" t="s">
        <v>608</v>
      </c>
      <c r="P76" s="30" t="s">
        <v>382</v>
      </c>
      <c r="Q76" s="30" t="s">
        <v>380</v>
      </c>
      <c r="R76" s="30" t="s">
        <v>835</v>
      </c>
      <c r="S76" s="30" t="s">
        <v>610</v>
      </c>
    </row>
    <row r="77" customFormat="false" ht="15" hidden="false" customHeight="false" outlineLevel="0" collapsed="false">
      <c r="A77" s="30" t="s">
        <v>836</v>
      </c>
      <c r="B77" s="30" t="s">
        <v>837</v>
      </c>
      <c r="C77" s="30" t="s">
        <v>616</v>
      </c>
      <c r="D77" s="30" t="s">
        <v>599</v>
      </c>
      <c r="E77" s="30" t="s">
        <v>617</v>
      </c>
      <c r="F77" s="30" t="s">
        <v>618</v>
      </c>
      <c r="G77" s="30" t="s">
        <v>602</v>
      </c>
      <c r="H77" s="30" t="s">
        <v>603</v>
      </c>
      <c r="I77" s="30" t="s">
        <v>586</v>
      </c>
      <c r="J77" s="30" t="s">
        <v>587</v>
      </c>
      <c r="K77" s="30" t="s">
        <v>604</v>
      </c>
      <c r="L77" s="30" t="s">
        <v>619</v>
      </c>
      <c r="M77" s="30" t="s">
        <v>645</v>
      </c>
      <c r="N77" s="30" t="s">
        <v>646</v>
      </c>
      <c r="O77" s="30" t="s">
        <v>608</v>
      </c>
      <c r="P77" s="30" t="s">
        <v>299</v>
      </c>
      <c r="Q77" s="30" t="s">
        <v>297</v>
      </c>
      <c r="R77" s="30" t="s">
        <v>838</v>
      </c>
      <c r="S77" s="30" t="s">
        <v>610</v>
      </c>
    </row>
    <row r="78" customFormat="false" ht="15" hidden="false" customHeight="false" outlineLevel="0" collapsed="false">
      <c r="A78" s="30" t="s">
        <v>839</v>
      </c>
      <c r="B78" s="30" t="s">
        <v>840</v>
      </c>
      <c r="C78" s="30" t="s">
        <v>631</v>
      </c>
      <c r="D78" s="30" t="s">
        <v>599</v>
      </c>
      <c r="E78" s="30" t="s">
        <v>632</v>
      </c>
      <c r="F78" s="30" t="s">
        <v>633</v>
      </c>
      <c r="G78" s="30" t="s">
        <v>602</v>
      </c>
      <c r="H78" s="30" t="s">
        <v>603</v>
      </c>
      <c r="I78" s="30" t="s">
        <v>586</v>
      </c>
      <c r="J78" s="30" t="s">
        <v>587</v>
      </c>
      <c r="K78" s="30" t="s">
        <v>604</v>
      </c>
      <c r="L78" s="30" t="s">
        <v>605</v>
      </c>
      <c r="M78" s="30" t="s">
        <v>606</v>
      </c>
      <c r="N78" s="30" t="s">
        <v>627</v>
      </c>
      <c r="O78" s="30" t="s">
        <v>641</v>
      </c>
      <c r="P78" s="30" t="s">
        <v>67</v>
      </c>
      <c r="Q78" s="30" t="s">
        <v>65</v>
      </c>
      <c r="R78" s="30" t="s">
        <v>841</v>
      </c>
      <c r="S78" s="30" t="s">
        <v>610</v>
      </c>
    </row>
    <row r="79" customFormat="false" ht="15" hidden="false" customHeight="false" outlineLevel="0" collapsed="false">
      <c r="A79" s="30" t="s">
        <v>842</v>
      </c>
      <c r="B79" s="30" t="s">
        <v>843</v>
      </c>
      <c r="C79" s="30" t="s">
        <v>616</v>
      </c>
      <c r="D79" s="30" t="s">
        <v>599</v>
      </c>
      <c r="E79" s="30" t="s">
        <v>617</v>
      </c>
      <c r="F79" s="30" t="s">
        <v>618</v>
      </c>
      <c r="G79" s="30" t="s">
        <v>602</v>
      </c>
      <c r="H79" s="30" t="s">
        <v>603</v>
      </c>
      <c r="I79" s="30" t="s">
        <v>586</v>
      </c>
      <c r="J79" s="30" t="s">
        <v>587</v>
      </c>
      <c r="K79" s="30" t="s">
        <v>604</v>
      </c>
      <c r="L79" s="30" t="s">
        <v>619</v>
      </c>
      <c r="M79" s="30" t="s">
        <v>645</v>
      </c>
      <c r="N79" s="30" t="s">
        <v>627</v>
      </c>
      <c r="O79" s="30" t="s">
        <v>608</v>
      </c>
      <c r="P79" s="30" t="s">
        <v>208</v>
      </c>
      <c r="Q79" s="30" t="s">
        <v>206</v>
      </c>
      <c r="R79" s="30" t="s">
        <v>844</v>
      </c>
      <c r="S79" s="30" t="s">
        <v>610</v>
      </c>
    </row>
    <row r="80" customFormat="false" ht="15" hidden="false" customHeight="false" outlineLevel="0" collapsed="false">
      <c r="A80" s="30" t="s">
        <v>845</v>
      </c>
      <c r="B80" s="30" t="s">
        <v>846</v>
      </c>
      <c r="C80" s="30" t="s">
        <v>616</v>
      </c>
      <c r="D80" s="30" t="s">
        <v>599</v>
      </c>
      <c r="E80" s="30" t="s">
        <v>617</v>
      </c>
      <c r="F80" s="30" t="s">
        <v>618</v>
      </c>
      <c r="G80" s="30" t="s">
        <v>602</v>
      </c>
      <c r="H80" s="30" t="s">
        <v>603</v>
      </c>
      <c r="I80" s="30" t="s">
        <v>586</v>
      </c>
      <c r="J80" s="30" t="s">
        <v>587</v>
      </c>
      <c r="K80" s="30" t="s">
        <v>604</v>
      </c>
      <c r="L80" s="30" t="s">
        <v>605</v>
      </c>
      <c r="M80" s="30" t="s">
        <v>640</v>
      </c>
      <c r="N80" s="30" t="s">
        <v>607</v>
      </c>
      <c r="O80" s="30" t="s">
        <v>608</v>
      </c>
      <c r="P80" s="30" t="s">
        <v>530</v>
      </c>
      <c r="Q80" s="30" t="s">
        <v>529</v>
      </c>
      <c r="R80" s="30" t="s">
        <v>656</v>
      </c>
      <c r="S80" s="30" t="s">
        <v>610</v>
      </c>
    </row>
    <row r="81" customFormat="false" ht="15" hidden="false" customHeight="false" outlineLevel="0" collapsed="false">
      <c r="A81" s="30" t="s">
        <v>847</v>
      </c>
      <c r="B81" s="30" t="s">
        <v>848</v>
      </c>
      <c r="C81" s="30" t="s">
        <v>616</v>
      </c>
      <c r="D81" s="30" t="s">
        <v>599</v>
      </c>
      <c r="E81" s="30" t="s">
        <v>617</v>
      </c>
      <c r="F81" s="30" t="s">
        <v>618</v>
      </c>
      <c r="G81" s="30" t="s">
        <v>602</v>
      </c>
      <c r="H81" s="30" t="s">
        <v>603</v>
      </c>
      <c r="I81" s="30" t="s">
        <v>586</v>
      </c>
      <c r="J81" s="30" t="s">
        <v>587</v>
      </c>
      <c r="K81" s="30" t="s">
        <v>604</v>
      </c>
      <c r="L81" s="30" t="s">
        <v>619</v>
      </c>
      <c r="M81" s="30" t="s">
        <v>606</v>
      </c>
      <c r="N81" s="30" t="s">
        <v>627</v>
      </c>
      <c r="O81" s="30" t="s">
        <v>608</v>
      </c>
      <c r="P81" s="30" t="s">
        <v>146</v>
      </c>
      <c r="Q81" s="30" t="s">
        <v>144</v>
      </c>
      <c r="R81" s="30" t="s">
        <v>849</v>
      </c>
      <c r="S81" s="30" t="s">
        <v>610</v>
      </c>
    </row>
    <row r="82" customFormat="false" ht="15" hidden="false" customHeight="false" outlineLevel="0" collapsed="false">
      <c r="A82" s="30" t="s">
        <v>850</v>
      </c>
      <c r="B82" s="30" t="s">
        <v>851</v>
      </c>
      <c r="C82" s="30" t="s">
        <v>631</v>
      </c>
      <c r="D82" s="30" t="s">
        <v>599</v>
      </c>
      <c r="E82" s="30" t="s">
        <v>632</v>
      </c>
      <c r="F82" s="30" t="s">
        <v>633</v>
      </c>
      <c r="G82" s="30" t="s">
        <v>602</v>
      </c>
      <c r="H82" s="30" t="s">
        <v>603</v>
      </c>
      <c r="I82" s="30" t="s">
        <v>586</v>
      </c>
      <c r="J82" s="30" t="s">
        <v>587</v>
      </c>
      <c r="K82" s="30" t="s">
        <v>604</v>
      </c>
      <c r="L82" s="30" t="s">
        <v>619</v>
      </c>
      <c r="M82" s="30" t="s">
        <v>606</v>
      </c>
      <c r="N82" s="30" t="s">
        <v>627</v>
      </c>
      <c r="O82" s="30" t="s">
        <v>608</v>
      </c>
      <c r="P82" s="30" t="s">
        <v>142</v>
      </c>
      <c r="Q82" s="30" t="s">
        <v>140</v>
      </c>
      <c r="R82" s="30" t="s">
        <v>852</v>
      </c>
      <c r="S82" s="30" t="s">
        <v>610</v>
      </c>
    </row>
    <row r="83" customFormat="false" ht="15" hidden="false" customHeight="false" outlineLevel="0" collapsed="false">
      <c r="A83" s="30" t="s">
        <v>853</v>
      </c>
      <c r="B83" s="30" t="s">
        <v>854</v>
      </c>
      <c r="C83" s="30" t="s">
        <v>616</v>
      </c>
      <c r="D83" s="30" t="s">
        <v>599</v>
      </c>
      <c r="E83" s="30" t="s">
        <v>617</v>
      </c>
      <c r="F83" s="30" t="s">
        <v>618</v>
      </c>
      <c r="G83" s="30" t="s">
        <v>602</v>
      </c>
      <c r="H83" s="30" t="s">
        <v>603</v>
      </c>
      <c r="I83" s="30" t="s">
        <v>586</v>
      </c>
      <c r="J83" s="30" t="s">
        <v>587</v>
      </c>
      <c r="K83" s="30" t="s">
        <v>604</v>
      </c>
      <c r="L83" s="30" t="s">
        <v>605</v>
      </c>
      <c r="M83" s="30" t="s">
        <v>620</v>
      </c>
      <c r="N83" s="30" t="s">
        <v>607</v>
      </c>
      <c r="O83" s="30" t="s">
        <v>641</v>
      </c>
      <c r="P83" s="30" t="s">
        <v>185</v>
      </c>
      <c r="Q83" s="30" t="s">
        <v>183</v>
      </c>
      <c r="R83" s="30" t="s">
        <v>855</v>
      </c>
      <c r="S83" s="30" t="s">
        <v>610</v>
      </c>
    </row>
    <row r="84" customFormat="false" ht="15" hidden="false" customHeight="false" outlineLevel="0" collapsed="false">
      <c r="A84" s="30" t="s">
        <v>856</v>
      </c>
      <c r="B84" s="30" t="s">
        <v>857</v>
      </c>
      <c r="C84" s="30" t="s">
        <v>598</v>
      </c>
      <c r="D84" s="30" t="s">
        <v>599</v>
      </c>
      <c r="E84" s="30" t="s">
        <v>600</v>
      </c>
      <c r="F84" s="30" t="s">
        <v>601</v>
      </c>
      <c r="G84" s="30" t="s">
        <v>602</v>
      </c>
      <c r="H84" s="30" t="s">
        <v>603</v>
      </c>
      <c r="I84" s="30" t="s">
        <v>586</v>
      </c>
      <c r="J84" s="30" t="s">
        <v>587</v>
      </c>
      <c r="K84" s="30" t="s">
        <v>604</v>
      </c>
      <c r="L84" s="30" t="s">
        <v>605</v>
      </c>
      <c r="M84" s="30" t="s">
        <v>620</v>
      </c>
      <c r="N84" s="30" t="s">
        <v>627</v>
      </c>
      <c r="O84" s="30" t="s">
        <v>608</v>
      </c>
      <c r="P84" s="30" t="s">
        <v>241</v>
      </c>
      <c r="Q84" s="30" t="s">
        <v>239</v>
      </c>
      <c r="R84" s="30" t="s">
        <v>858</v>
      </c>
      <c r="S84" s="30" t="s">
        <v>610</v>
      </c>
    </row>
    <row r="85" customFormat="false" ht="15" hidden="false" customHeight="false" outlineLevel="0" collapsed="false">
      <c r="A85" s="30" t="s">
        <v>859</v>
      </c>
      <c r="B85" s="30" t="s">
        <v>860</v>
      </c>
      <c r="C85" s="30" t="s">
        <v>616</v>
      </c>
      <c r="D85" s="30" t="s">
        <v>599</v>
      </c>
      <c r="E85" s="30" t="s">
        <v>617</v>
      </c>
      <c r="F85" s="30" t="s">
        <v>618</v>
      </c>
      <c r="G85" s="30" t="s">
        <v>602</v>
      </c>
      <c r="H85" s="30" t="s">
        <v>603</v>
      </c>
      <c r="I85" s="30" t="s">
        <v>586</v>
      </c>
      <c r="J85" s="30" t="s">
        <v>587</v>
      </c>
      <c r="K85" s="30" t="s">
        <v>604</v>
      </c>
      <c r="L85" s="30" t="s">
        <v>605</v>
      </c>
      <c r="M85" s="30" t="s">
        <v>620</v>
      </c>
      <c r="N85" s="30" t="s">
        <v>607</v>
      </c>
      <c r="O85" s="30" t="s">
        <v>608</v>
      </c>
      <c r="P85" s="30" t="s">
        <v>479</v>
      </c>
      <c r="Q85" s="30" t="s">
        <v>478</v>
      </c>
      <c r="R85" s="30" t="s">
        <v>656</v>
      </c>
      <c r="S85" s="30" t="s">
        <v>610</v>
      </c>
    </row>
    <row r="86" customFormat="false" ht="15" hidden="false" customHeight="false" outlineLevel="0" collapsed="false">
      <c r="A86" s="30" t="s">
        <v>861</v>
      </c>
      <c r="B86" s="30" t="s">
        <v>862</v>
      </c>
      <c r="C86" s="30" t="s">
        <v>631</v>
      </c>
      <c r="D86" s="30" t="s">
        <v>599</v>
      </c>
      <c r="E86" s="30" t="s">
        <v>632</v>
      </c>
      <c r="F86" s="30" t="s">
        <v>633</v>
      </c>
      <c r="G86" s="30" t="s">
        <v>602</v>
      </c>
      <c r="H86" s="30" t="s">
        <v>603</v>
      </c>
      <c r="I86" s="30" t="s">
        <v>586</v>
      </c>
      <c r="J86" s="30" t="s">
        <v>587</v>
      </c>
      <c r="K86" s="30" t="s">
        <v>604</v>
      </c>
      <c r="L86" s="30" t="s">
        <v>619</v>
      </c>
      <c r="M86" s="30" t="s">
        <v>640</v>
      </c>
      <c r="N86" s="30" t="s">
        <v>627</v>
      </c>
      <c r="O86" s="30" t="s">
        <v>608</v>
      </c>
      <c r="P86" s="30" t="s">
        <v>378</v>
      </c>
      <c r="Q86" s="30" t="s">
        <v>376</v>
      </c>
      <c r="R86" s="30" t="s">
        <v>863</v>
      </c>
      <c r="S86" s="30" t="s">
        <v>610</v>
      </c>
    </row>
    <row r="87" customFormat="false" ht="15" hidden="false" customHeight="false" outlineLevel="0" collapsed="false">
      <c r="A87" s="30" t="s">
        <v>864</v>
      </c>
      <c r="B87" s="30" t="s">
        <v>865</v>
      </c>
      <c r="C87" s="30" t="s">
        <v>598</v>
      </c>
      <c r="D87" s="30" t="s">
        <v>599</v>
      </c>
      <c r="E87" s="30" t="s">
        <v>600</v>
      </c>
      <c r="F87" s="30" t="s">
        <v>601</v>
      </c>
      <c r="G87" s="30" t="s">
        <v>602</v>
      </c>
      <c r="H87" s="30" t="s">
        <v>603</v>
      </c>
      <c r="I87" s="30" t="s">
        <v>586</v>
      </c>
      <c r="J87" s="30" t="s">
        <v>587</v>
      </c>
      <c r="K87" s="30" t="s">
        <v>604</v>
      </c>
      <c r="L87" s="30" t="s">
        <v>619</v>
      </c>
      <c r="M87" s="30" t="s">
        <v>606</v>
      </c>
      <c r="N87" s="30" t="s">
        <v>627</v>
      </c>
      <c r="O87" s="30" t="s">
        <v>608</v>
      </c>
      <c r="P87" s="30" t="s">
        <v>137</v>
      </c>
      <c r="Q87" s="30" t="s">
        <v>135</v>
      </c>
      <c r="R87" s="30" t="s">
        <v>866</v>
      </c>
      <c r="S87" s="30" t="s">
        <v>610</v>
      </c>
    </row>
    <row r="88" customFormat="false" ht="15" hidden="false" customHeight="false" outlineLevel="0" collapsed="false">
      <c r="A88" s="30" t="s">
        <v>867</v>
      </c>
      <c r="B88" s="30" t="s">
        <v>868</v>
      </c>
      <c r="C88" s="30" t="s">
        <v>598</v>
      </c>
      <c r="D88" s="30" t="s">
        <v>599</v>
      </c>
      <c r="E88" s="30" t="s">
        <v>600</v>
      </c>
      <c r="F88" s="30" t="s">
        <v>601</v>
      </c>
      <c r="G88" s="30" t="s">
        <v>602</v>
      </c>
      <c r="H88" s="30" t="s">
        <v>603</v>
      </c>
      <c r="I88" s="30" t="s">
        <v>586</v>
      </c>
      <c r="J88" s="30" t="s">
        <v>587</v>
      </c>
      <c r="K88" s="30" t="s">
        <v>604</v>
      </c>
      <c r="L88" s="30" t="s">
        <v>619</v>
      </c>
      <c r="M88" s="30" t="s">
        <v>645</v>
      </c>
      <c r="N88" s="30" t="s">
        <v>627</v>
      </c>
      <c r="O88" s="30" t="s">
        <v>608</v>
      </c>
      <c r="P88" s="30" t="s">
        <v>204</v>
      </c>
      <c r="Q88" s="30" t="s">
        <v>202</v>
      </c>
      <c r="R88" s="30" t="s">
        <v>869</v>
      </c>
      <c r="S88" s="30" t="s">
        <v>610</v>
      </c>
    </row>
    <row r="89" customFormat="false" ht="15" hidden="false" customHeight="false" outlineLevel="0" collapsed="false">
      <c r="A89" s="30" t="s">
        <v>870</v>
      </c>
      <c r="B89" s="30" t="s">
        <v>871</v>
      </c>
      <c r="C89" s="30" t="s">
        <v>631</v>
      </c>
      <c r="D89" s="30" t="s">
        <v>599</v>
      </c>
      <c r="E89" s="30" t="s">
        <v>632</v>
      </c>
      <c r="F89" s="30" t="s">
        <v>633</v>
      </c>
      <c r="G89" s="30" t="s">
        <v>602</v>
      </c>
      <c r="H89" s="30" t="s">
        <v>603</v>
      </c>
      <c r="I89" s="30" t="s">
        <v>586</v>
      </c>
      <c r="J89" s="30" t="s">
        <v>587</v>
      </c>
      <c r="K89" s="30" t="s">
        <v>604</v>
      </c>
      <c r="L89" s="30" t="s">
        <v>619</v>
      </c>
      <c r="M89" s="30" t="s">
        <v>620</v>
      </c>
      <c r="N89" s="30" t="s">
        <v>607</v>
      </c>
      <c r="O89" s="30" t="s">
        <v>608</v>
      </c>
      <c r="P89" s="30" t="s">
        <v>476</v>
      </c>
      <c r="Q89" s="30" t="s">
        <v>474</v>
      </c>
      <c r="R89" s="30" t="s">
        <v>872</v>
      </c>
      <c r="S89" s="30" t="s">
        <v>610</v>
      </c>
    </row>
    <row r="90" customFormat="false" ht="15" hidden="false" customHeight="false" outlineLevel="0" collapsed="false">
      <c r="A90" s="30" t="s">
        <v>873</v>
      </c>
      <c r="B90" s="30" t="s">
        <v>874</v>
      </c>
      <c r="C90" s="30" t="s">
        <v>598</v>
      </c>
      <c r="D90" s="30" t="s">
        <v>599</v>
      </c>
      <c r="E90" s="30" t="s">
        <v>600</v>
      </c>
      <c r="F90" s="30" t="s">
        <v>601</v>
      </c>
      <c r="G90" s="30" t="s">
        <v>602</v>
      </c>
      <c r="H90" s="30" t="s">
        <v>603</v>
      </c>
      <c r="I90" s="30" t="s">
        <v>586</v>
      </c>
      <c r="J90" s="30" t="s">
        <v>587</v>
      </c>
      <c r="K90" s="30" t="s">
        <v>604</v>
      </c>
      <c r="L90" s="30" t="s">
        <v>619</v>
      </c>
      <c r="M90" s="30" t="s">
        <v>620</v>
      </c>
      <c r="N90" s="30" t="s">
        <v>607</v>
      </c>
      <c r="O90" s="30" t="s">
        <v>608</v>
      </c>
      <c r="P90" s="30" t="s">
        <v>472</v>
      </c>
      <c r="Q90" s="30" t="s">
        <v>470</v>
      </c>
      <c r="R90" s="30" t="s">
        <v>875</v>
      </c>
      <c r="S90" s="30" t="s">
        <v>610</v>
      </c>
    </row>
    <row r="91" customFormat="false" ht="15" hidden="false" customHeight="false" outlineLevel="0" collapsed="false">
      <c r="A91" s="30" t="s">
        <v>876</v>
      </c>
      <c r="B91" s="30" t="s">
        <v>877</v>
      </c>
      <c r="C91" s="30" t="s">
        <v>631</v>
      </c>
      <c r="D91" s="30" t="s">
        <v>599</v>
      </c>
      <c r="E91" s="30" t="s">
        <v>632</v>
      </c>
      <c r="F91" s="30" t="s">
        <v>633</v>
      </c>
      <c r="G91" s="30" t="s">
        <v>602</v>
      </c>
      <c r="H91" s="30" t="s">
        <v>603</v>
      </c>
      <c r="I91" s="30" t="s">
        <v>586</v>
      </c>
      <c r="J91" s="30" t="s">
        <v>587</v>
      </c>
      <c r="K91" s="30" t="s">
        <v>604</v>
      </c>
      <c r="L91" s="30" t="s">
        <v>605</v>
      </c>
      <c r="M91" s="30" t="s">
        <v>640</v>
      </c>
      <c r="N91" s="30" t="s">
        <v>627</v>
      </c>
      <c r="O91" s="30" t="s">
        <v>641</v>
      </c>
      <c r="P91" s="30" t="s">
        <v>133</v>
      </c>
      <c r="Q91" s="30" t="s">
        <v>131</v>
      </c>
      <c r="R91" s="30" t="s">
        <v>878</v>
      </c>
      <c r="S91" s="30" t="s">
        <v>610</v>
      </c>
    </row>
    <row r="92" customFormat="false" ht="15" hidden="false" customHeight="false" outlineLevel="0" collapsed="false">
      <c r="A92" s="30" t="s">
        <v>879</v>
      </c>
      <c r="B92" s="30" t="s">
        <v>880</v>
      </c>
      <c r="C92" s="30" t="s">
        <v>631</v>
      </c>
      <c r="D92" s="30" t="s">
        <v>599</v>
      </c>
      <c r="E92" s="30" t="s">
        <v>632</v>
      </c>
      <c r="F92" s="30" t="s">
        <v>633</v>
      </c>
      <c r="G92" s="30" t="s">
        <v>602</v>
      </c>
      <c r="H92" s="30" t="s">
        <v>603</v>
      </c>
      <c r="I92" s="30" t="s">
        <v>586</v>
      </c>
      <c r="J92" s="30" t="s">
        <v>587</v>
      </c>
      <c r="K92" s="30" t="s">
        <v>604</v>
      </c>
      <c r="L92" s="30" t="s">
        <v>619</v>
      </c>
      <c r="M92" s="30" t="s">
        <v>640</v>
      </c>
      <c r="N92" s="30" t="s">
        <v>627</v>
      </c>
      <c r="O92" s="30" t="s">
        <v>608</v>
      </c>
      <c r="P92" s="30" t="s">
        <v>374</v>
      </c>
      <c r="Q92" s="30" t="s">
        <v>372</v>
      </c>
      <c r="R92" s="30" t="s">
        <v>881</v>
      </c>
      <c r="S92" s="30" t="s">
        <v>610</v>
      </c>
    </row>
    <row r="93" customFormat="false" ht="15" hidden="false" customHeight="false" outlineLevel="0" collapsed="false">
      <c r="A93" s="30" t="s">
        <v>882</v>
      </c>
      <c r="B93" s="30" t="s">
        <v>883</v>
      </c>
      <c r="C93" s="30" t="s">
        <v>631</v>
      </c>
      <c r="D93" s="30" t="s">
        <v>599</v>
      </c>
      <c r="E93" s="30" t="s">
        <v>632</v>
      </c>
      <c r="F93" s="30" t="s">
        <v>633</v>
      </c>
      <c r="G93" s="30" t="s">
        <v>602</v>
      </c>
      <c r="H93" s="30" t="s">
        <v>603</v>
      </c>
      <c r="I93" s="30" t="s">
        <v>586</v>
      </c>
      <c r="J93" s="30" t="s">
        <v>587</v>
      </c>
      <c r="K93" s="30" t="s">
        <v>604</v>
      </c>
      <c r="L93" s="30" t="s">
        <v>619</v>
      </c>
      <c r="M93" s="30" t="s">
        <v>620</v>
      </c>
      <c r="N93" s="30" t="s">
        <v>607</v>
      </c>
      <c r="O93" s="30" t="s">
        <v>608</v>
      </c>
      <c r="P93" s="30" t="s">
        <v>468</v>
      </c>
      <c r="Q93" s="30" t="s">
        <v>466</v>
      </c>
      <c r="R93" s="30" t="s">
        <v>884</v>
      </c>
      <c r="S93" s="30" t="s">
        <v>610</v>
      </c>
    </row>
    <row r="94" customFormat="false" ht="15" hidden="false" customHeight="false" outlineLevel="0" collapsed="false">
      <c r="A94" s="30" t="s">
        <v>885</v>
      </c>
      <c r="B94" s="30" t="s">
        <v>886</v>
      </c>
      <c r="C94" s="30" t="s">
        <v>598</v>
      </c>
      <c r="D94" s="30" t="s">
        <v>599</v>
      </c>
      <c r="E94" s="30" t="s">
        <v>600</v>
      </c>
      <c r="F94" s="30" t="s">
        <v>601</v>
      </c>
      <c r="G94" s="30" t="s">
        <v>602</v>
      </c>
      <c r="H94" s="30" t="s">
        <v>603</v>
      </c>
      <c r="I94" s="30" t="s">
        <v>586</v>
      </c>
      <c r="J94" s="30" t="s">
        <v>587</v>
      </c>
      <c r="K94" s="30" t="s">
        <v>604</v>
      </c>
      <c r="L94" s="30" t="s">
        <v>619</v>
      </c>
      <c r="M94" s="30" t="s">
        <v>620</v>
      </c>
      <c r="N94" s="30" t="s">
        <v>607</v>
      </c>
      <c r="O94" s="30" t="s">
        <v>608</v>
      </c>
      <c r="P94" s="30" t="s">
        <v>464</v>
      </c>
      <c r="Q94" s="30" t="s">
        <v>462</v>
      </c>
      <c r="R94" s="30" t="s">
        <v>887</v>
      </c>
      <c r="S94" s="30" t="s">
        <v>610</v>
      </c>
    </row>
    <row r="95" customFormat="false" ht="15" hidden="false" customHeight="false" outlineLevel="0" collapsed="false">
      <c r="A95" s="30" t="s">
        <v>888</v>
      </c>
      <c r="B95" s="30" t="s">
        <v>889</v>
      </c>
      <c r="C95" s="30" t="s">
        <v>616</v>
      </c>
      <c r="D95" s="30" t="s">
        <v>599</v>
      </c>
      <c r="E95" s="30" t="s">
        <v>617</v>
      </c>
      <c r="F95" s="30" t="s">
        <v>618</v>
      </c>
      <c r="G95" s="30" t="s">
        <v>602</v>
      </c>
      <c r="H95" s="30" t="s">
        <v>603</v>
      </c>
      <c r="I95" s="30" t="s">
        <v>586</v>
      </c>
      <c r="J95" s="30" t="s">
        <v>587</v>
      </c>
      <c r="K95" s="30" t="s">
        <v>604</v>
      </c>
      <c r="L95" s="30" t="s">
        <v>619</v>
      </c>
      <c r="M95" s="30" t="s">
        <v>640</v>
      </c>
      <c r="N95" s="30" t="s">
        <v>607</v>
      </c>
      <c r="O95" s="30" t="s">
        <v>608</v>
      </c>
      <c r="P95" s="30" t="s">
        <v>527</v>
      </c>
      <c r="Q95" s="30" t="s">
        <v>525</v>
      </c>
      <c r="R95" s="30" t="s">
        <v>890</v>
      </c>
      <c r="S95" s="30" t="s">
        <v>610</v>
      </c>
    </row>
    <row r="96" customFormat="false" ht="15" hidden="false" customHeight="false" outlineLevel="0" collapsed="false">
      <c r="A96" s="30" t="s">
        <v>891</v>
      </c>
      <c r="B96" s="30" t="s">
        <v>892</v>
      </c>
      <c r="C96" s="30" t="s">
        <v>631</v>
      </c>
      <c r="D96" s="30" t="s">
        <v>599</v>
      </c>
      <c r="E96" s="30" t="s">
        <v>632</v>
      </c>
      <c r="F96" s="30" t="s">
        <v>633</v>
      </c>
      <c r="G96" s="30" t="s">
        <v>602</v>
      </c>
      <c r="H96" s="30" t="s">
        <v>603</v>
      </c>
      <c r="I96" s="30" t="s">
        <v>586</v>
      </c>
      <c r="J96" s="30" t="s">
        <v>587</v>
      </c>
      <c r="K96" s="30" t="s">
        <v>604</v>
      </c>
      <c r="L96" s="30" t="s">
        <v>605</v>
      </c>
      <c r="M96" s="30" t="s">
        <v>620</v>
      </c>
      <c r="N96" s="30" t="s">
        <v>607</v>
      </c>
      <c r="O96" s="30" t="s">
        <v>608</v>
      </c>
      <c r="P96" s="30" t="s">
        <v>460</v>
      </c>
      <c r="Q96" s="30" t="s">
        <v>458</v>
      </c>
      <c r="R96" s="30" t="s">
        <v>893</v>
      </c>
      <c r="S96" s="30" t="s">
        <v>610</v>
      </c>
    </row>
    <row r="97" customFormat="false" ht="15" hidden="false" customHeight="false" outlineLevel="0" collapsed="false">
      <c r="A97" s="30" t="s">
        <v>894</v>
      </c>
      <c r="B97" s="30" t="s">
        <v>895</v>
      </c>
      <c r="C97" s="30" t="s">
        <v>616</v>
      </c>
      <c r="D97" s="30" t="s">
        <v>599</v>
      </c>
      <c r="E97" s="30" t="s">
        <v>617</v>
      </c>
      <c r="F97" s="30" t="s">
        <v>618</v>
      </c>
      <c r="G97" s="30" t="s">
        <v>602</v>
      </c>
      <c r="H97" s="30" t="s">
        <v>603</v>
      </c>
      <c r="I97" s="30" t="s">
        <v>586</v>
      </c>
      <c r="J97" s="30" t="s">
        <v>587</v>
      </c>
      <c r="K97" s="30" t="s">
        <v>604</v>
      </c>
      <c r="L97" s="30" t="s">
        <v>619</v>
      </c>
      <c r="M97" s="30" t="s">
        <v>620</v>
      </c>
      <c r="N97" s="30" t="s">
        <v>607</v>
      </c>
      <c r="O97" s="30" t="s">
        <v>608</v>
      </c>
      <c r="P97" s="30" t="s">
        <v>456</v>
      </c>
      <c r="Q97" s="30" t="s">
        <v>454</v>
      </c>
      <c r="R97" s="30" t="s">
        <v>896</v>
      </c>
      <c r="S97" s="30" t="s">
        <v>610</v>
      </c>
    </row>
    <row r="98" customFormat="false" ht="15" hidden="false" customHeight="false" outlineLevel="0" collapsed="false">
      <c r="A98" s="30" t="s">
        <v>897</v>
      </c>
      <c r="B98" s="30" t="s">
        <v>898</v>
      </c>
      <c r="C98" s="30" t="s">
        <v>598</v>
      </c>
      <c r="D98" s="30" t="s">
        <v>599</v>
      </c>
      <c r="E98" s="30" t="s">
        <v>600</v>
      </c>
      <c r="F98" s="30" t="s">
        <v>601</v>
      </c>
      <c r="G98" s="30" t="s">
        <v>602</v>
      </c>
      <c r="H98" s="30" t="s">
        <v>603</v>
      </c>
      <c r="I98" s="30" t="s">
        <v>586</v>
      </c>
      <c r="J98" s="30" t="s">
        <v>587</v>
      </c>
      <c r="K98" s="30" t="s">
        <v>604</v>
      </c>
      <c r="L98" s="30" t="s">
        <v>605</v>
      </c>
      <c r="M98" s="30" t="s">
        <v>640</v>
      </c>
      <c r="N98" s="30" t="s">
        <v>627</v>
      </c>
      <c r="O98" s="30" t="s">
        <v>608</v>
      </c>
      <c r="P98" s="30" t="s">
        <v>370</v>
      </c>
      <c r="Q98" s="30" t="s">
        <v>368</v>
      </c>
      <c r="R98" s="30" t="s">
        <v>899</v>
      </c>
      <c r="S98" s="30" t="s">
        <v>610</v>
      </c>
    </row>
    <row r="99" customFormat="false" ht="15" hidden="false" customHeight="false" outlineLevel="0" collapsed="false">
      <c r="A99" s="30" t="s">
        <v>900</v>
      </c>
      <c r="B99" s="30" t="s">
        <v>901</v>
      </c>
      <c r="C99" s="30" t="s">
        <v>616</v>
      </c>
      <c r="D99" s="30" t="s">
        <v>599</v>
      </c>
      <c r="E99" s="30" t="s">
        <v>617</v>
      </c>
      <c r="F99" s="30" t="s">
        <v>618</v>
      </c>
      <c r="G99" s="30" t="s">
        <v>602</v>
      </c>
      <c r="H99" s="30" t="s">
        <v>603</v>
      </c>
      <c r="I99" s="30" t="s">
        <v>586</v>
      </c>
      <c r="J99" s="30" t="s">
        <v>587</v>
      </c>
      <c r="K99" s="30" t="s">
        <v>604</v>
      </c>
      <c r="L99" s="30" t="s">
        <v>605</v>
      </c>
      <c r="M99" s="30" t="s">
        <v>606</v>
      </c>
      <c r="N99" s="30" t="s">
        <v>627</v>
      </c>
      <c r="O99" s="30" t="s">
        <v>15</v>
      </c>
      <c r="P99" s="30" t="s">
        <v>38</v>
      </c>
      <c r="Q99" s="30" t="s">
        <v>36</v>
      </c>
      <c r="R99" s="30" t="s">
        <v>902</v>
      </c>
      <c r="S99" s="30" t="s">
        <v>610</v>
      </c>
    </row>
    <row r="100" customFormat="false" ht="15" hidden="false" customHeight="false" outlineLevel="0" collapsed="false">
      <c r="A100" s="30" t="s">
        <v>903</v>
      </c>
      <c r="B100" s="30" t="s">
        <v>904</v>
      </c>
      <c r="C100" s="30" t="s">
        <v>598</v>
      </c>
      <c r="D100" s="30" t="s">
        <v>599</v>
      </c>
      <c r="E100" s="30" t="s">
        <v>600</v>
      </c>
      <c r="F100" s="30" t="s">
        <v>601</v>
      </c>
      <c r="G100" s="30" t="s">
        <v>602</v>
      </c>
      <c r="H100" s="30" t="s">
        <v>603</v>
      </c>
      <c r="I100" s="30" t="s">
        <v>586</v>
      </c>
      <c r="J100" s="30" t="s">
        <v>587</v>
      </c>
      <c r="K100" s="30" t="s">
        <v>604</v>
      </c>
      <c r="L100" s="30" t="s">
        <v>605</v>
      </c>
      <c r="M100" s="30" t="s">
        <v>640</v>
      </c>
      <c r="N100" s="30" t="s">
        <v>607</v>
      </c>
      <c r="O100" s="30" t="s">
        <v>641</v>
      </c>
      <c r="P100" s="30" t="s">
        <v>294</v>
      </c>
      <c r="Q100" s="30" t="s">
        <v>292</v>
      </c>
      <c r="R100" s="30" t="s">
        <v>905</v>
      </c>
      <c r="S100" s="30" t="s">
        <v>610</v>
      </c>
    </row>
    <row r="101" customFormat="false" ht="15" hidden="false" customHeight="false" outlineLevel="0" collapsed="false">
      <c r="A101" s="30" t="s">
        <v>906</v>
      </c>
      <c r="B101" s="30" t="s">
        <v>907</v>
      </c>
      <c r="C101" s="30" t="s">
        <v>631</v>
      </c>
      <c r="D101" s="30" t="s">
        <v>599</v>
      </c>
      <c r="E101" s="30" t="s">
        <v>632</v>
      </c>
      <c r="F101" s="30" t="s">
        <v>633</v>
      </c>
      <c r="G101" s="30" t="s">
        <v>602</v>
      </c>
      <c r="H101" s="30" t="s">
        <v>603</v>
      </c>
      <c r="I101" s="30" t="s">
        <v>586</v>
      </c>
      <c r="J101" s="30" t="s">
        <v>587</v>
      </c>
      <c r="K101" s="30" t="s">
        <v>604</v>
      </c>
      <c r="L101" s="30" t="s">
        <v>619</v>
      </c>
      <c r="M101" s="30" t="s">
        <v>606</v>
      </c>
      <c r="N101" s="30" t="s">
        <v>646</v>
      </c>
      <c r="O101" s="30" t="s">
        <v>608</v>
      </c>
      <c r="P101" s="30" t="s">
        <v>199</v>
      </c>
      <c r="Q101" s="30" t="s">
        <v>197</v>
      </c>
      <c r="R101" s="30" t="s">
        <v>908</v>
      </c>
      <c r="S101" s="30" t="s">
        <v>610</v>
      </c>
    </row>
    <row r="102" customFormat="false" ht="15" hidden="false" customHeight="false" outlineLevel="0" collapsed="false">
      <c r="A102" s="30" t="s">
        <v>909</v>
      </c>
      <c r="B102" s="30" t="s">
        <v>910</v>
      </c>
      <c r="C102" s="30" t="s">
        <v>598</v>
      </c>
      <c r="D102" s="30" t="s">
        <v>599</v>
      </c>
      <c r="E102" s="30" t="s">
        <v>600</v>
      </c>
      <c r="F102" s="30" t="s">
        <v>601</v>
      </c>
      <c r="G102" s="30" t="s">
        <v>602</v>
      </c>
      <c r="H102" s="30" t="s">
        <v>603</v>
      </c>
      <c r="I102" s="30" t="s">
        <v>586</v>
      </c>
      <c r="J102" s="30" t="s">
        <v>587</v>
      </c>
      <c r="K102" s="30" t="s">
        <v>604</v>
      </c>
      <c r="L102" s="30" t="s">
        <v>605</v>
      </c>
      <c r="M102" s="30" t="s">
        <v>620</v>
      </c>
      <c r="N102" s="30" t="s">
        <v>607</v>
      </c>
      <c r="O102" s="30" t="s">
        <v>608</v>
      </c>
      <c r="P102" s="30" t="s">
        <v>452</v>
      </c>
      <c r="Q102" s="30" t="s">
        <v>450</v>
      </c>
      <c r="R102" s="30" t="s">
        <v>911</v>
      </c>
      <c r="S102" s="30" t="s">
        <v>610</v>
      </c>
    </row>
    <row r="103" customFormat="false" ht="15" hidden="false" customHeight="false" outlineLevel="0" collapsed="false">
      <c r="A103" s="30" t="s">
        <v>912</v>
      </c>
      <c r="B103" s="30" t="s">
        <v>913</v>
      </c>
      <c r="C103" s="30" t="s">
        <v>631</v>
      </c>
      <c r="D103" s="30" t="s">
        <v>599</v>
      </c>
      <c r="E103" s="30" t="s">
        <v>632</v>
      </c>
      <c r="F103" s="30" t="s">
        <v>633</v>
      </c>
      <c r="G103" s="30" t="s">
        <v>602</v>
      </c>
      <c r="H103" s="30" t="s">
        <v>603</v>
      </c>
      <c r="I103" s="30" t="s">
        <v>586</v>
      </c>
      <c r="J103" s="30" t="s">
        <v>587</v>
      </c>
      <c r="K103" s="30" t="s">
        <v>604</v>
      </c>
      <c r="L103" s="30" t="s">
        <v>619</v>
      </c>
      <c r="M103" s="30" t="s">
        <v>620</v>
      </c>
      <c r="N103" s="30" t="s">
        <v>607</v>
      </c>
      <c r="O103" s="30" t="s">
        <v>608</v>
      </c>
      <c r="P103" s="30" t="s">
        <v>448</v>
      </c>
      <c r="Q103" s="30" t="s">
        <v>446</v>
      </c>
      <c r="R103" s="30" t="s">
        <v>914</v>
      </c>
      <c r="S103" s="30" t="s">
        <v>610</v>
      </c>
    </row>
    <row r="104" customFormat="false" ht="15" hidden="false" customHeight="false" outlineLevel="0" collapsed="false">
      <c r="A104" s="30" t="s">
        <v>915</v>
      </c>
      <c r="B104" s="30" t="s">
        <v>916</v>
      </c>
      <c r="C104" s="30" t="s">
        <v>631</v>
      </c>
      <c r="D104" s="30" t="s">
        <v>599</v>
      </c>
      <c r="E104" s="30" t="s">
        <v>632</v>
      </c>
      <c r="F104" s="30" t="s">
        <v>633</v>
      </c>
      <c r="G104" s="30" t="s">
        <v>602</v>
      </c>
      <c r="H104" s="30" t="s">
        <v>603</v>
      </c>
      <c r="I104" s="30" t="s">
        <v>586</v>
      </c>
      <c r="J104" s="30" t="s">
        <v>587</v>
      </c>
      <c r="K104" s="30" t="s">
        <v>604</v>
      </c>
      <c r="L104" s="30" t="s">
        <v>619</v>
      </c>
      <c r="M104" s="30" t="s">
        <v>640</v>
      </c>
      <c r="N104" s="30" t="s">
        <v>646</v>
      </c>
      <c r="O104" s="30" t="s">
        <v>608</v>
      </c>
      <c r="P104" s="30" t="s">
        <v>502</v>
      </c>
      <c r="Q104" s="30" t="s">
        <v>500</v>
      </c>
      <c r="R104" s="30" t="s">
        <v>917</v>
      </c>
      <c r="S104" s="30" t="s">
        <v>610</v>
      </c>
    </row>
    <row r="105" customFormat="false" ht="15" hidden="false" customHeight="false" outlineLevel="0" collapsed="false">
      <c r="A105" s="30" t="s">
        <v>918</v>
      </c>
      <c r="B105" s="30" t="s">
        <v>919</v>
      </c>
      <c r="C105" s="30" t="s">
        <v>616</v>
      </c>
      <c r="D105" s="30" t="s">
        <v>599</v>
      </c>
      <c r="E105" s="30" t="s">
        <v>617</v>
      </c>
      <c r="F105" s="30" t="s">
        <v>618</v>
      </c>
      <c r="G105" s="30" t="s">
        <v>602</v>
      </c>
      <c r="H105" s="30" t="s">
        <v>603</v>
      </c>
      <c r="I105" s="30" t="s">
        <v>586</v>
      </c>
      <c r="J105" s="30" t="s">
        <v>587</v>
      </c>
      <c r="K105" s="30" t="s">
        <v>604</v>
      </c>
      <c r="L105" s="30" t="s">
        <v>619</v>
      </c>
      <c r="M105" s="30" t="s">
        <v>640</v>
      </c>
      <c r="N105" s="30" t="s">
        <v>607</v>
      </c>
      <c r="O105" s="30" t="s">
        <v>608</v>
      </c>
      <c r="P105" s="30" t="s">
        <v>523</v>
      </c>
      <c r="Q105" s="30" t="s">
        <v>521</v>
      </c>
      <c r="R105" s="30" t="s">
        <v>920</v>
      </c>
      <c r="S105" s="30" t="s">
        <v>610</v>
      </c>
    </row>
    <row r="106" customFormat="false" ht="15" hidden="false" customHeight="false" outlineLevel="0" collapsed="false">
      <c r="A106" s="30" t="s">
        <v>921</v>
      </c>
      <c r="B106" s="30" t="s">
        <v>922</v>
      </c>
      <c r="C106" s="30" t="s">
        <v>598</v>
      </c>
      <c r="D106" s="30" t="s">
        <v>599</v>
      </c>
      <c r="E106" s="30" t="s">
        <v>600</v>
      </c>
      <c r="F106" s="30" t="s">
        <v>601</v>
      </c>
      <c r="G106" s="30" t="s">
        <v>602</v>
      </c>
      <c r="H106" s="30" t="s">
        <v>603</v>
      </c>
      <c r="I106" s="30" t="s">
        <v>586</v>
      </c>
      <c r="J106" s="30" t="s">
        <v>587</v>
      </c>
      <c r="K106" s="30" t="s">
        <v>604</v>
      </c>
      <c r="L106" s="30" t="s">
        <v>619</v>
      </c>
      <c r="M106" s="30" t="s">
        <v>620</v>
      </c>
      <c r="N106" s="30" t="s">
        <v>607</v>
      </c>
      <c r="O106" s="30" t="s">
        <v>608</v>
      </c>
      <c r="P106" s="30" t="s">
        <v>444</v>
      </c>
      <c r="Q106" s="30" t="s">
        <v>442</v>
      </c>
      <c r="R106" s="30" t="s">
        <v>923</v>
      </c>
      <c r="S106" s="30" t="s">
        <v>610</v>
      </c>
    </row>
    <row r="107" customFormat="false" ht="15" hidden="false" customHeight="false" outlineLevel="0" collapsed="false">
      <c r="A107" s="30" t="s">
        <v>924</v>
      </c>
      <c r="B107" s="30" t="s">
        <v>925</v>
      </c>
      <c r="C107" s="30" t="s">
        <v>631</v>
      </c>
      <c r="D107" s="30" t="s">
        <v>599</v>
      </c>
      <c r="E107" s="30" t="s">
        <v>632</v>
      </c>
      <c r="F107" s="30" t="s">
        <v>633</v>
      </c>
      <c r="G107" s="30" t="s">
        <v>602</v>
      </c>
      <c r="H107" s="30" t="s">
        <v>603</v>
      </c>
      <c r="I107" s="30" t="s">
        <v>586</v>
      </c>
      <c r="J107" s="30" t="s">
        <v>587</v>
      </c>
      <c r="K107" s="30" t="s">
        <v>604</v>
      </c>
      <c r="L107" s="30" t="s">
        <v>619</v>
      </c>
      <c r="M107" s="30" t="s">
        <v>620</v>
      </c>
      <c r="N107" s="30" t="s">
        <v>607</v>
      </c>
      <c r="O107" s="30" t="s">
        <v>608</v>
      </c>
      <c r="P107" s="30" t="s">
        <v>440</v>
      </c>
      <c r="Q107" s="30" t="s">
        <v>438</v>
      </c>
      <c r="R107" s="30" t="s">
        <v>926</v>
      </c>
      <c r="S107" s="30" t="s">
        <v>610</v>
      </c>
    </row>
    <row r="108" customFormat="false" ht="15" hidden="false" customHeight="false" outlineLevel="0" collapsed="false">
      <c r="A108" s="30" t="s">
        <v>927</v>
      </c>
      <c r="B108" s="30" t="s">
        <v>928</v>
      </c>
      <c r="C108" s="30" t="s">
        <v>598</v>
      </c>
      <c r="D108" s="30" t="s">
        <v>599</v>
      </c>
      <c r="E108" s="30" t="s">
        <v>600</v>
      </c>
      <c r="F108" s="30" t="s">
        <v>601</v>
      </c>
      <c r="G108" s="30" t="s">
        <v>602</v>
      </c>
      <c r="H108" s="30" t="s">
        <v>603</v>
      </c>
      <c r="I108" s="30" t="s">
        <v>586</v>
      </c>
      <c r="J108" s="30" t="s">
        <v>587</v>
      </c>
      <c r="K108" s="30" t="s">
        <v>604</v>
      </c>
      <c r="L108" s="30" t="s">
        <v>619</v>
      </c>
      <c r="M108" s="30" t="s">
        <v>620</v>
      </c>
      <c r="N108" s="30" t="s">
        <v>627</v>
      </c>
      <c r="O108" s="30" t="s">
        <v>608</v>
      </c>
      <c r="P108" s="30" t="s">
        <v>237</v>
      </c>
      <c r="Q108" s="30" t="s">
        <v>235</v>
      </c>
      <c r="R108" s="30" t="s">
        <v>929</v>
      </c>
      <c r="S108" s="30" t="s">
        <v>610</v>
      </c>
    </row>
    <row r="109" customFormat="false" ht="15" hidden="false" customHeight="false" outlineLevel="0" collapsed="false">
      <c r="A109" s="30" t="s">
        <v>930</v>
      </c>
      <c r="B109" s="30" t="s">
        <v>931</v>
      </c>
      <c r="C109" s="30" t="s">
        <v>598</v>
      </c>
      <c r="D109" s="30" t="s">
        <v>599</v>
      </c>
      <c r="E109" s="30" t="s">
        <v>600</v>
      </c>
      <c r="F109" s="30" t="s">
        <v>601</v>
      </c>
      <c r="G109" s="30" t="s">
        <v>602</v>
      </c>
      <c r="H109" s="30" t="s">
        <v>603</v>
      </c>
      <c r="I109" s="30" t="s">
        <v>586</v>
      </c>
      <c r="J109" s="30" t="s">
        <v>587</v>
      </c>
      <c r="K109" s="30" t="s">
        <v>604</v>
      </c>
      <c r="L109" s="30" t="s">
        <v>619</v>
      </c>
      <c r="M109" s="30" t="s">
        <v>606</v>
      </c>
      <c r="N109" s="30" t="s">
        <v>646</v>
      </c>
      <c r="O109" s="30" t="s">
        <v>641</v>
      </c>
      <c r="P109" s="30" t="s">
        <v>77</v>
      </c>
      <c r="Q109" s="30" t="s">
        <v>75</v>
      </c>
      <c r="R109" s="30" t="s">
        <v>932</v>
      </c>
      <c r="S109" s="30" t="s">
        <v>610</v>
      </c>
    </row>
    <row r="110" customFormat="false" ht="15" hidden="false" customHeight="false" outlineLevel="0" collapsed="false">
      <c r="A110" s="30" t="s">
        <v>933</v>
      </c>
      <c r="B110" s="30" t="s">
        <v>934</v>
      </c>
      <c r="C110" s="30" t="s">
        <v>598</v>
      </c>
      <c r="D110" s="30" t="s">
        <v>599</v>
      </c>
      <c r="E110" s="30" t="s">
        <v>600</v>
      </c>
      <c r="F110" s="30" t="s">
        <v>601</v>
      </c>
      <c r="G110" s="30" t="s">
        <v>602</v>
      </c>
      <c r="H110" s="30" t="s">
        <v>603</v>
      </c>
      <c r="I110" s="30" t="s">
        <v>586</v>
      </c>
      <c r="J110" s="30" t="s">
        <v>587</v>
      </c>
      <c r="K110" s="30" t="s">
        <v>604</v>
      </c>
      <c r="L110" s="30" t="s">
        <v>619</v>
      </c>
      <c r="M110" s="30" t="s">
        <v>640</v>
      </c>
      <c r="N110" s="30" t="s">
        <v>627</v>
      </c>
      <c r="O110" s="30" t="s">
        <v>608</v>
      </c>
      <c r="P110" s="30" t="s">
        <v>366</v>
      </c>
      <c r="Q110" s="30" t="s">
        <v>364</v>
      </c>
      <c r="R110" s="30" t="s">
        <v>935</v>
      </c>
      <c r="S110" s="30" t="s">
        <v>610</v>
      </c>
    </row>
    <row r="111" customFormat="false" ht="15" hidden="false" customHeight="false" outlineLevel="0" collapsed="false">
      <c r="A111" s="30" t="s">
        <v>936</v>
      </c>
      <c r="B111" s="30" t="s">
        <v>937</v>
      </c>
      <c r="C111" s="30" t="s">
        <v>616</v>
      </c>
      <c r="D111" s="30" t="s">
        <v>599</v>
      </c>
      <c r="E111" s="30" t="s">
        <v>617</v>
      </c>
      <c r="F111" s="30" t="s">
        <v>618</v>
      </c>
      <c r="G111" s="30" t="s">
        <v>602</v>
      </c>
      <c r="H111" s="30" t="s">
        <v>603</v>
      </c>
      <c r="I111" s="30" t="s">
        <v>586</v>
      </c>
      <c r="J111" s="30" t="s">
        <v>587</v>
      </c>
      <c r="K111" s="30" t="s">
        <v>604</v>
      </c>
      <c r="L111" s="30" t="s">
        <v>605</v>
      </c>
      <c r="M111" s="30" t="s">
        <v>640</v>
      </c>
      <c r="N111" s="30" t="s">
        <v>627</v>
      </c>
      <c r="O111" s="30" t="s">
        <v>608</v>
      </c>
      <c r="P111" s="30" t="s">
        <v>362</v>
      </c>
      <c r="Q111" s="30" t="s">
        <v>360</v>
      </c>
      <c r="R111" s="30" t="s">
        <v>938</v>
      </c>
      <c r="S111" s="30" t="s">
        <v>610</v>
      </c>
    </row>
    <row r="112" customFormat="false" ht="15" hidden="false" customHeight="false" outlineLevel="0" collapsed="false">
      <c r="A112" s="30" t="s">
        <v>939</v>
      </c>
      <c r="B112" s="30" t="s">
        <v>940</v>
      </c>
      <c r="C112" s="30" t="s">
        <v>616</v>
      </c>
      <c r="D112" s="30" t="s">
        <v>599</v>
      </c>
      <c r="E112" s="30" t="s">
        <v>617</v>
      </c>
      <c r="F112" s="30" t="s">
        <v>618</v>
      </c>
      <c r="G112" s="30" t="s">
        <v>602</v>
      </c>
      <c r="H112" s="30" t="s">
        <v>603</v>
      </c>
      <c r="I112" s="30" t="s">
        <v>586</v>
      </c>
      <c r="J112" s="30" t="s">
        <v>587</v>
      </c>
      <c r="K112" s="30" t="s">
        <v>604</v>
      </c>
      <c r="L112" s="30" t="s">
        <v>619</v>
      </c>
      <c r="M112" s="30" t="s">
        <v>640</v>
      </c>
      <c r="N112" s="30" t="s">
        <v>627</v>
      </c>
      <c r="O112" s="30" t="s">
        <v>608</v>
      </c>
      <c r="P112" s="30" t="s">
        <v>358</v>
      </c>
      <c r="Q112" s="30" t="s">
        <v>356</v>
      </c>
      <c r="R112" s="30" t="s">
        <v>941</v>
      </c>
      <c r="S112" s="30" t="s">
        <v>610</v>
      </c>
    </row>
    <row r="113" customFormat="false" ht="15" hidden="false" customHeight="false" outlineLevel="0" collapsed="false">
      <c r="A113" s="30" t="s">
        <v>942</v>
      </c>
      <c r="B113" s="30" t="s">
        <v>943</v>
      </c>
      <c r="C113" s="30" t="s">
        <v>616</v>
      </c>
      <c r="D113" s="30" t="s">
        <v>599</v>
      </c>
      <c r="E113" s="30" t="s">
        <v>617</v>
      </c>
      <c r="F113" s="30" t="s">
        <v>618</v>
      </c>
      <c r="G113" s="30" t="s">
        <v>602</v>
      </c>
      <c r="H113" s="30" t="s">
        <v>603</v>
      </c>
      <c r="I113" s="30" t="s">
        <v>586</v>
      </c>
      <c r="J113" s="30" t="s">
        <v>587</v>
      </c>
      <c r="K113" s="30" t="s">
        <v>604</v>
      </c>
      <c r="L113" s="30" t="s">
        <v>619</v>
      </c>
      <c r="M113" s="30" t="s">
        <v>640</v>
      </c>
      <c r="N113" s="30" t="s">
        <v>646</v>
      </c>
      <c r="O113" s="30" t="s">
        <v>608</v>
      </c>
      <c r="P113" s="30" t="s">
        <v>497</v>
      </c>
      <c r="Q113" s="30" t="s">
        <v>495</v>
      </c>
      <c r="R113" s="30" t="s">
        <v>944</v>
      </c>
      <c r="S113" s="30" t="s">
        <v>610</v>
      </c>
    </row>
    <row r="114" customFormat="false" ht="15" hidden="false" customHeight="false" outlineLevel="0" collapsed="false">
      <c r="A114" s="30" t="s">
        <v>945</v>
      </c>
      <c r="B114" s="30" t="s">
        <v>946</v>
      </c>
      <c r="C114" s="30" t="s">
        <v>631</v>
      </c>
      <c r="D114" s="30" t="s">
        <v>599</v>
      </c>
      <c r="E114" s="30" t="s">
        <v>632</v>
      </c>
      <c r="F114" s="30" t="s">
        <v>633</v>
      </c>
      <c r="G114" s="30" t="s">
        <v>602</v>
      </c>
      <c r="H114" s="30" t="s">
        <v>603</v>
      </c>
      <c r="I114" s="30" t="s">
        <v>586</v>
      </c>
      <c r="J114" s="30" t="s">
        <v>587</v>
      </c>
      <c r="K114" s="30" t="s">
        <v>604</v>
      </c>
      <c r="L114" s="30" t="s">
        <v>605</v>
      </c>
      <c r="M114" s="30" t="s">
        <v>640</v>
      </c>
      <c r="N114" s="30" t="s">
        <v>627</v>
      </c>
      <c r="O114" s="30" t="s">
        <v>608</v>
      </c>
      <c r="P114" s="30" t="s">
        <v>354</v>
      </c>
      <c r="Q114" s="30" t="s">
        <v>352</v>
      </c>
      <c r="R114" s="30" t="s">
        <v>947</v>
      </c>
      <c r="S114" s="30" t="s">
        <v>610</v>
      </c>
    </row>
    <row r="115" customFormat="false" ht="15" hidden="false" customHeight="false" outlineLevel="0" collapsed="false">
      <c r="A115" s="30" t="s">
        <v>948</v>
      </c>
      <c r="B115" s="30" t="s">
        <v>949</v>
      </c>
      <c r="C115" s="30" t="s">
        <v>598</v>
      </c>
      <c r="D115" s="30" t="s">
        <v>599</v>
      </c>
      <c r="E115" s="30" t="s">
        <v>600</v>
      </c>
      <c r="F115" s="30" t="s">
        <v>601</v>
      </c>
      <c r="G115" s="30" t="s">
        <v>602</v>
      </c>
      <c r="H115" s="30" t="s">
        <v>603</v>
      </c>
      <c r="I115" s="30" t="s">
        <v>586</v>
      </c>
      <c r="J115" s="30" t="s">
        <v>587</v>
      </c>
      <c r="K115" s="30" t="s">
        <v>604</v>
      </c>
      <c r="L115" s="30" t="s">
        <v>619</v>
      </c>
      <c r="M115" s="30" t="s">
        <v>645</v>
      </c>
      <c r="N115" s="30" t="s">
        <v>607</v>
      </c>
      <c r="O115" s="30" t="s">
        <v>641</v>
      </c>
      <c r="P115" s="30" t="s">
        <v>127</v>
      </c>
      <c r="Q115" s="30" t="s">
        <v>125</v>
      </c>
      <c r="R115" s="30" t="s">
        <v>950</v>
      </c>
      <c r="S115" s="30" t="s">
        <v>610</v>
      </c>
    </row>
    <row r="116" customFormat="false" ht="15" hidden="false" customHeight="false" outlineLevel="0" collapsed="false">
      <c r="A116" s="30" t="s">
        <v>951</v>
      </c>
      <c r="B116" s="30" t="s">
        <v>952</v>
      </c>
      <c r="C116" s="30" t="s">
        <v>616</v>
      </c>
      <c r="D116" s="30" t="s">
        <v>599</v>
      </c>
      <c r="E116" s="30" t="s">
        <v>617</v>
      </c>
      <c r="F116" s="30" t="s">
        <v>618</v>
      </c>
      <c r="G116" s="30" t="s">
        <v>602</v>
      </c>
      <c r="H116" s="30" t="s">
        <v>603</v>
      </c>
      <c r="I116" s="30" t="s">
        <v>586</v>
      </c>
      <c r="J116" s="30" t="s">
        <v>587</v>
      </c>
      <c r="K116" s="30" t="s">
        <v>604</v>
      </c>
      <c r="L116" s="30" t="s">
        <v>619</v>
      </c>
      <c r="M116" s="30" t="s">
        <v>640</v>
      </c>
      <c r="N116" s="30" t="s">
        <v>627</v>
      </c>
      <c r="O116" s="30" t="s">
        <v>608</v>
      </c>
      <c r="P116" s="30" t="s">
        <v>349</v>
      </c>
      <c r="Q116" s="30" t="s">
        <v>347</v>
      </c>
      <c r="R116" s="30" t="s">
        <v>953</v>
      </c>
      <c r="S116" s="30" t="s">
        <v>610</v>
      </c>
    </row>
    <row r="117" customFormat="false" ht="15" hidden="false" customHeight="false" outlineLevel="0" collapsed="false">
      <c r="A117" s="30" t="s">
        <v>954</v>
      </c>
      <c r="B117" s="30" t="s">
        <v>955</v>
      </c>
      <c r="C117" s="30" t="s">
        <v>598</v>
      </c>
      <c r="D117" s="30" t="s">
        <v>599</v>
      </c>
      <c r="E117" s="30" t="s">
        <v>600</v>
      </c>
      <c r="F117" s="30" t="s">
        <v>601</v>
      </c>
      <c r="G117" s="30" t="s">
        <v>602</v>
      </c>
      <c r="H117" s="30" t="s">
        <v>603</v>
      </c>
      <c r="I117" s="30" t="s">
        <v>586</v>
      </c>
      <c r="J117" s="30" t="s">
        <v>587</v>
      </c>
      <c r="K117" s="30" t="s">
        <v>604</v>
      </c>
      <c r="L117" s="30" t="s">
        <v>605</v>
      </c>
      <c r="M117" s="30" t="s">
        <v>640</v>
      </c>
      <c r="N117" s="30" t="s">
        <v>607</v>
      </c>
      <c r="O117" s="30" t="s">
        <v>608</v>
      </c>
      <c r="P117" s="30" t="s">
        <v>518</v>
      </c>
      <c r="Q117" s="30" t="s">
        <v>516</v>
      </c>
      <c r="R117" s="30" t="s">
        <v>956</v>
      </c>
      <c r="S117" s="30" t="s">
        <v>610</v>
      </c>
    </row>
    <row r="118" customFormat="false" ht="15" hidden="false" customHeight="false" outlineLevel="0" collapsed="false">
      <c r="A118" s="30" t="s">
        <v>957</v>
      </c>
      <c r="B118" s="30" t="s">
        <v>958</v>
      </c>
      <c r="C118" s="30" t="s">
        <v>616</v>
      </c>
      <c r="D118" s="30" t="s">
        <v>599</v>
      </c>
      <c r="E118" s="30" t="s">
        <v>617</v>
      </c>
      <c r="F118" s="30" t="s">
        <v>618</v>
      </c>
      <c r="G118" s="30" t="s">
        <v>602</v>
      </c>
      <c r="H118" s="30" t="s">
        <v>603</v>
      </c>
      <c r="I118" s="30" t="s">
        <v>586</v>
      </c>
      <c r="J118" s="30" t="s">
        <v>587</v>
      </c>
      <c r="K118" s="30" t="s">
        <v>604</v>
      </c>
      <c r="L118" s="30" t="s">
        <v>619</v>
      </c>
      <c r="M118" s="30" t="s">
        <v>640</v>
      </c>
      <c r="N118" s="30" t="s">
        <v>627</v>
      </c>
      <c r="O118" s="30" t="s">
        <v>641</v>
      </c>
      <c r="P118" s="30" t="s">
        <v>121</v>
      </c>
      <c r="Q118" s="30" t="s">
        <v>119</v>
      </c>
      <c r="R118" s="30" t="s">
        <v>959</v>
      </c>
      <c r="S118" s="30" t="s">
        <v>610</v>
      </c>
    </row>
    <row r="119" customFormat="false" ht="15" hidden="false" customHeight="false" outlineLevel="0" collapsed="false">
      <c r="A119" s="30" t="s">
        <v>960</v>
      </c>
      <c r="B119" s="30" t="s">
        <v>961</v>
      </c>
      <c r="C119" s="30" t="s">
        <v>598</v>
      </c>
      <c r="D119" s="30" t="s">
        <v>599</v>
      </c>
      <c r="E119" s="30" t="s">
        <v>600</v>
      </c>
      <c r="F119" s="30" t="s">
        <v>601</v>
      </c>
      <c r="G119" s="30" t="s">
        <v>602</v>
      </c>
      <c r="H119" s="30" t="s">
        <v>603</v>
      </c>
      <c r="I119" s="30" t="s">
        <v>586</v>
      </c>
      <c r="J119" s="30" t="s">
        <v>587</v>
      </c>
      <c r="K119" s="30" t="s">
        <v>604</v>
      </c>
      <c r="L119" s="30" t="s">
        <v>619</v>
      </c>
      <c r="M119" s="30" t="s">
        <v>620</v>
      </c>
      <c r="N119" s="30" t="s">
        <v>646</v>
      </c>
      <c r="O119" s="30" t="s">
        <v>641</v>
      </c>
      <c r="P119" s="30" t="s">
        <v>116</v>
      </c>
      <c r="Q119" s="30" t="s">
        <v>114</v>
      </c>
      <c r="R119" s="30" t="s">
        <v>962</v>
      </c>
      <c r="S119" s="30" t="s">
        <v>610</v>
      </c>
    </row>
    <row r="120" customFormat="false" ht="15" hidden="false" customHeight="false" outlineLevel="0" collapsed="false">
      <c r="A120" s="30" t="s">
        <v>963</v>
      </c>
      <c r="B120" s="30" t="s">
        <v>964</v>
      </c>
      <c r="C120" s="30" t="s">
        <v>616</v>
      </c>
      <c r="D120" s="30" t="s">
        <v>599</v>
      </c>
      <c r="E120" s="30" t="s">
        <v>617</v>
      </c>
      <c r="F120" s="30" t="s">
        <v>618</v>
      </c>
      <c r="G120" s="30" t="s">
        <v>602</v>
      </c>
      <c r="H120" s="30" t="s">
        <v>603</v>
      </c>
      <c r="I120" s="30" t="s">
        <v>586</v>
      </c>
      <c r="J120" s="30" t="s">
        <v>587</v>
      </c>
      <c r="K120" s="30" t="s">
        <v>604</v>
      </c>
      <c r="L120" s="30" t="s">
        <v>619</v>
      </c>
      <c r="M120" s="30" t="s">
        <v>645</v>
      </c>
      <c r="N120" s="30" t="s">
        <v>627</v>
      </c>
      <c r="O120" s="30" t="s">
        <v>608</v>
      </c>
      <c r="P120" s="30" t="s">
        <v>195</v>
      </c>
      <c r="Q120" s="30" t="s">
        <v>193</v>
      </c>
      <c r="R120" s="30" t="s">
        <v>965</v>
      </c>
      <c r="S120" s="30" t="s">
        <v>610</v>
      </c>
    </row>
    <row r="121" customFormat="false" ht="15" hidden="false" customHeight="false" outlineLevel="0" collapsed="false">
      <c r="A121" s="30" t="s">
        <v>966</v>
      </c>
      <c r="B121" s="30" t="s">
        <v>967</v>
      </c>
      <c r="C121" s="30" t="s">
        <v>631</v>
      </c>
      <c r="D121" s="30" t="s">
        <v>599</v>
      </c>
      <c r="E121" s="30" t="s">
        <v>632</v>
      </c>
      <c r="F121" s="30" t="s">
        <v>633</v>
      </c>
      <c r="G121" s="30" t="s">
        <v>602</v>
      </c>
      <c r="H121" s="30" t="s">
        <v>603</v>
      </c>
      <c r="I121" s="30" t="s">
        <v>586</v>
      </c>
      <c r="J121" s="30" t="s">
        <v>587</v>
      </c>
      <c r="K121" s="30" t="s">
        <v>604</v>
      </c>
      <c r="L121" s="30" t="s">
        <v>619</v>
      </c>
      <c r="M121" s="30" t="s">
        <v>620</v>
      </c>
      <c r="N121" s="30" t="s">
        <v>607</v>
      </c>
      <c r="O121" s="30" t="s">
        <v>608</v>
      </c>
      <c r="P121" s="30" t="s">
        <v>435</v>
      </c>
      <c r="Q121" s="30" t="s">
        <v>433</v>
      </c>
      <c r="R121" s="30" t="s">
        <v>968</v>
      </c>
      <c r="S121" s="30" t="s">
        <v>610</v>
      </c>
    </row>
    <row r="122" customFormat="false" ht="15" hidden="false" customHeight="false" outlineLevel="0" collapsed="false">
      <c r="A122" s="30" t="s">
        <v>969</v>
      </c>
      <c r="B122" s="30" t="s">
        <v>970</v>
      </c>
      <c r="C122" s="30" t="s">
        <v>616</v>
      </c>
      <c r="D122" s="30" t="s">
        <v>599</v>
      </c>
      <c r="E122" s="30" t="s">
        <v>617</v>
      </c>
      <c r="F122" s="30" t="s">
        <v>618</v>
      </c>
      <c r="G122" s="30" t="s">
        <v>602</v>
      </c>
      <c r="H122" s="30" t="s">
        <v>603</v>
      </c>
      <c r="I122" s="30" t="s">
        <v>586</v>
      </c>
      <c r="J122" s="30" t="s">
        <v>587</v>
      </c>
      <c r="K122" s="30" t="s">
        <v>604</v>
      </c>
      <c r="L122" s="30" t="s">
        <v>605</v>
      </c>
      <c r="M122" s="30" t="s">
        <v>620</v>
      </c>
      <c r="N122" s="30" t="s">
        <v>627</v>
      </c>
      <c r="O122" s="30" t="s">
        <v>608</v>
      </c>
      <c r="P122" s="30" t="s">
        <v>231</v>
      </c>
      <c r="Q122" s="30" t="s">
        <v>229</v>
      </c>
      <c r="R122" s="30" t="s">
        <v>971</v>
      </c>
      <c r="S122" s="30" t="s">
        <v>610</v>
      </c>
    </row>
    <row r="123" customFormat="false" ht="15" hidden="false" customHeight="false" outlineLevel="0" collapsed="false">
      <c r="A123" s="30" t="s">
        <v>972</v>
      </c>
      <c r="B123" s="30" t="s">
        <v>973</v>
      </c>
      <c r="C123" s="30" t="s">
        <v>616</v>
      </c>
      <c r="D123" s="30" t="s">
        <v>599</v>
      </c>
      <c r="E123" s="30" t="s">
        <v>617</v>
      </c>
      <c r="F123" s="30" t="s">
        <v>618</v>
      </c>
      <c r="G123" s="30" t="s">
        <v>602</v>
      </c>
      <c r="H123" s="30" t="s">
        <v>603</v>
      </c>
      <c r="I123" s="30" t="s">
        <v>586</v>
      </c>
      <c r="J123" s="30" t="s">
        <v>587</v>
      </c>
      <c r="K123" s="30" t="s">
        <v>604</v>
      </c>
      <c r="L123" s="30" t="s">
        <v>619</v>
      </c>
      <c r="M123" s="30" t="s">
        <v>645</v>
      </c>
      <c r="N123" s="30" t="s">
        <v>627</v>
      </c>
      <c r="O123" s="30" t="s">
        <v>608</v>
      </c>
      <c r="P123" s="30" t="s">
        <v>190</v>
      </c>
      <c r="Q123" s="30" t="s">
        <v>188</v>
      </c>
      <c r="R123" s="30" t="s">
        <v>974</v>
      </c>
      <c r="S123" s="30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2026-05-08T11:14:07Z</dcterms:created>
  <dc:creator>openpyxl</dc:creator>
  <dc:description/>
  <dc:language>en-US</dc:language>
  <cp:lastModifiedBy/>
  <dcterms:modified xsi:type="dcterms:W3CDTF">2026-05-08T11:14:07Z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